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pam-my.sharepoint.com/personal/igor_kulyk_epam_com/Documents/KnowledgeBase/2023.03.13_BA_NULP_Lecture_Academic_PrioritizarionRoadmap/"/>
    </mc:Choice>
  </mc:AlternateContent>
  <xr:revisionPtr revIDLastSave="30" documentId="8_{8A790446-BAEB-4CB1-B425-AEDC153A93AE}" xr6:coauthVersionLast="47" xr6:coauthVersionMax="47" xr10:uidLastSave="{2327862D-A9B5-485A-8F3A-23BCEF8CE7B7}"/>
  <bookViews>
    <workbookView xWindow="-120" yWindow="-120" windowWidth="29040" windowHeight="17640" xr2:uid="{00000000-000D-0000-FFFF-FFFF00000000}"/>
  </bookViews>
  <sheets>
    <sheet name="ProjectSchedule" sheetId="11" r:id="rId1"/>
  </sheets>
  <definedNames>
    <definedName name="task_end" localSheetId="0">ProjectSchedule!$H1</definedName>
    <definedName name="task_progress" localSheetId="0">ProjectSchedule!$F1</definedName>
    <definedName name="task_start" localSheetId="0">ProjectSchedule!$G1</definedName>
    <definedName name="today" localSheetId="0">ProjectSchedule!$G$3</definedName>
    <definedName name="valuevx">42.314159</definedName>
    <definedName name="_xlnm.Print_Titles" localSheetId="0">ProjectSchedule!$4:$6</definedName>
    <definedName name="_xlnm.Print_Area" localSheetId="0">ProjectSchedule!$1:$46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11" l="1"/>
  <c r="B75" i="11" s="1"/>
  <c r="B76" i="11" s="1"/>
  <c r="B77" i="11" s="1"/>
  <c r="B78" i="11" s="1"/>
  <c r="B79" i="11" s="1"/>
  <c r="B80" i="11" s="1"/>
  <c r="B81" i="11" s="1"/>
  <c r="B66" i="11"/>
  <c r="B67" i="11" s="1"/>
  <c r="B68" i="11" s="1"/>
  <c r="B69" i="11" s="1"/>
  <c r="B70" i="11" s="1"/>
  <c r="B71" i="11" s="1"/>
  <c r="B72" i="11" s="1"/>
  <c r="B62" i="11"/>
  <c r="B63" i="11" s="1"/>
  <c r="B64" i="11" s="1"/>
  <c r="B54" i="11"/>
  <c r="B55" i="11" s="1"/>
  <c r="B56" i="11" s="1"/>
  <c r="B57" i="11" s="1"/>
  <c r="B58" i="11" s="1"/>
  <c r="B59" i="11" s="1"/>
  <c r="B60" i="11" s="1"/>
  <c r="B50" i="11"/>
  <c r="B51" i="11" s="1"/>
  <c r="B52" i="11" s="1"/>
  <c r="B41" i="11"/>
  <c r="B42" i="11" s="1"/>
  <c r="B43" i="11" s="1"/>
  <c r="B44" i="11" s="1"/>
  <c r="B45" i="11" s="1"/>
  <c r="B46" i="11" s="1"/>
  <c r="B47" i="11" s="1"/>
  <c r="B48" i="11" s="1"/>
  <c r="B32" i="11"/>
  <c r="B33" i="11" s="1"/>
  <c r="B34" i="11" s="1"/>
  <c r="B35" i="11" s="1"/>
  <c r="B36" i="11" s="1"/>
  <c r="B37" i="11" s="1"/>
  <c r="B38" i="11" s="1"/>
  <c r="B39" i="11" s="1"/>
  <c r="B26" i="11"/>
  <c r="B27" i="11" s="1"/>
  <c r="B28" i="11" s="1"/>
  <c r="B29" i="11" s="1"/>
  <c r="B30" i="11" s="1"/>
  <c r="B21" i="11"/>
  <c r="B22" i="11" s="1"/>
  <c r="B23" i="11" s="1"/>
  <c r="B24" i="11" s="1"/>
  <c r="B17" i="11"/>
  <c r="B18" i="11" s="1"/>
  <c r="B19" i="11" s="1"/>
  <c r="B9" i="11"/>
  <c r="B10" i="11" s="1"/>
  <c r="B11" i="11" s="1"/>
  <c r="B12" i="11" s="1"/>
  <c r="B13" i="11" s="1"/>
  <c r="B14" i="11" s="1"/>
  <c r="B15" i="11" s="1"/>
  <c r="G3" i="11" l="1"/>
  <c r="J81" i="11" l="1"/>
  <c r="J80" i="11"/>
  <c r="J77" i="11"/>
  <c r="J76" i="11"/>
  <c r="J74" i="11"/>
  <c r="J73" i="11"/>
  <c r="J25" i="11"/>
  <c r="J26" i="11"/>
  <c r="J27" i="11"/>
  <c r="J28" i="11"/>
  <c r="J72" i="11"/>
  <c r="J71" i="11"/>
  <c r="J68" i="11"/>
  <c r="J67" i="11"/>
  <c r="J66" i="11"/>
  <c r="J65" i="11"/>
  <c r="J64" i="11"/>
  <c r="J63" i="11"/>
  <c r="J62" i="11"/>
  <c r="J61" i="11"/>
  <c r="J60" i="11"/>
  <c r="J59" i="11"/>
  <c r="J56" i="11"/>
  <c r="J55" i="11"/>
  <c r="J54" i="11"/>
  <c r="J53" i="11"/>
  <c r="J52" i="11"/>
  <c r="J51" i="11"/>
  <c r="J50" i="11"/>
  <c r="J49" i="11"/>
  <c r="J48" i="11"/>
  <c r="J47" i="11"/>
  <c r="J46" i="11"/>
  <c r="J42" i="11"/>
  <c r="J41" i="11"/>
  <c r="J40" i="11"/>
  <c r="J39" i="11" l="1"/>
  <c r="J38" i="11"/>
  <c r="J34" i="11"/>
  <c r="J33" i="11"/>
  <c r="J32" i="11"/>
  <c r="J31" i="11"/>
  <c r="J30" i="11"/>
  <c r="J29" i="11"/>
  <c r="J24" i="11"/>
  <c r="J23" i="11"/>
  <c r="J21" i="11"/>
  <c r="J20" i="11"/>
  <c r="J19" i="11"/>
  <c r="J18" i="11"/>
  <c r="J17" i="11"/>
  <c r="J16" i="11"/>
  <c r="J15" i="11"/>
  <c r="J13" i="11"/>
  <c r="J11" i="11"/>
  <c r="J10" i="11"/>
  <c r="J9" i="11"/>
  <c r="J8" i="11"/>
  <c r="J7" i="11"/>
  <c r="K5" i="11" l="1"/>
  <c r="K6" i="11" l="1"/>
  <c r="L5" i="11" l="1"/>
  <c r="M5" i="11" s="1"/>
  <c r="N5" i="11" s="1"/>
  <c r="O5" i="11" s="1"/>
  <c r="P5" i="11" s="1"/>
  <c r="Q5" i="11" s="1"/>
  <c r="R5" i="11" s="1"/>
  <c r="K4" i="11"/>
  <c r="R4" i="11" l="1"/>
  <c r="S5" i="11"/>
  <c r="T5" i="11" s="1"/>
  <c r="U5" i="11" s="1"/>
  <c r="V5" i="11" s="1"/>
  <c r="W5" i="11" s="1"/>
  <c r="X5" i="11" s="1"/>
  <c r="Y5" i="11" s="1"/>
  <c r="L6" i="11"/>
  <c r="Y4" i="11" l="1"/>
  <c r="Z5" i="11"/>
  <c r="AA5" i="11" s="1"/>
  <c r="AB5" i="11" s="1"/>
  <c r="AC5" i="11" s="1"/>
  <c r="AD5" i="11" s="1"/>
  <c r="AE5" i="11" s="1"/>
  <c r="AF5" i="11" s="1"/>
  <c r="M6" i="11"/>
  <c r="AG5" i="11" l="1"/>
  <c r="AH5" i="11" s="1"/>
  <c r="AI5" i="11" s="1"/>
  <c r="AJ5" i="11" s="1"/>
  <c r="AK5" i="11" s="1"/>
  <c r="AL5" i="11" s="1"/>
  <c r="AF4" i="11"/>
  <c r="N6" i="11"/>
  <c r="AM5" i="11" l="1"/>
  <c r="AN5" i="11" s="1"/>
  <c r="AO5" i="11" s="1"/>
  <c r="AP5" i="11" s="1"/>
  <c r="AQ5" i="11" s="1"/>
  <c r="AR5" i="11" s="1"/>
  <c r="AS5" i="11" s="1"/>
  <c r="O6" i="11"/>
  <c r="AT5" i="11" l="1"/>
  <c r="AU5" i="11" s="1"/>
  <c r="AM4" i="11"/>
  <c r="P6" i="11"/>
  <c r="AV5" i="11" l="1"/>
  <c r="AU6" i="11"/>
  <c r="AT4" i="11"/>
  <c r="Q6" i="11"/>
  <c r="AW5" i="11" l="1"/>
  <c r="AV6" i="11"/>
  <c r="AX5" i="11" l="1"/>
  <c r="AW6" i="11"/>
  <c r="R6" i="11"/>
  <c r="S6" i="11"/>
  <c r="AY5" i="11" l="1"/>
  <c r="AX6" i="11"/>
  <c r="T6" i="11"/>
  <c r="AZ5" i="11" l="1"/>
  <c r="BA5" i="11" s="1"/>
  <c r="AY6" i="11"/>
  <c r="U6" i="11"/>
  <c r="BA6" i="11" l="1"/>
  <c r="BB5" i="11"/>
  <c r="BA4" i="11"/>
  <c r="AZ6" i="11"/>
  <c r="V6" i="11"/>
  <c r="BC5" i="11" l="1"/>
  <c r="BB6" i="11"/>
  <c r="W6" i="11"/>
  <c r="BC6" i="11" l="1"/>
  <c r="BD5" i="11"/>
  <c r="X6" i="11"/>
  <c r="BD6" i="11" l="1"/>
  <c r="BE5" i="11"/>
  <c r="Y6" i="11"/>
  <c r="BE6" i="11" l="1"/>
  <c r="BF5" i="11"/>
  <c r="Z6" i="11"/>
  <c r="BG5" i="11" l="1"/>
  <c r="BF6" i="11"/>
  <c r="AA6" i="11"/>
  <c r="BG6" i="11" l="1"/>
  <c r="BH5" i="11"/>
  <c r="AB6" i="11"/>
  <c r="BH6" i="11" l="1"/>
  <c r="BI5" i="11"/>
  <c r="BH4" i="11"/>
  <c r="AC6" i="11"/>
  <c r="BI6" i="11" l="1"/>
  <c r="BJ5" i="11"/>
  <c r="AD6" i="11"/>
  <c r="BK5" i="11" l="1"/>
  <c r="BJ6" i="11"/>
  <c r="AE6" i="11"/>
  <c r="BL5" i="11" l="1"/>
  <c r="BK6" i="11"/>
  <c r="AF6" i="11"/>
  <c r="BM5" i="11" l="1"/>
  <c r="BL6" i="11"/>
  <c r="AG6" i="11"/>
  <c r="BN5" i="11" l="1"/>
  <c r="BO5" i="11" s="1"/>
  <c r="BM6" i="11"/>
  <c r="AH6" i="11"/>
  <c r="BP5" i="11" l="1"/>
  <c r="BO6" i="11"/>
  <c r="BO4" i="11"/>
  <c r="BN6" i="11"/>
  <c r="AI6" i="11"/>
  <c r="BQ5" i="11" l="1"/>
  <c r="BP6" i="11"/>
  <c r="AJ6" i="11"/>
  <c r="BR5" i="11" l="1"/>
  <c r="BQ6" i="11"/>
  <c r="AK6" i="11"/>
  <c r="BS5" i="11" l="1"/>
  <c r="BR6" i="11"/>
  <c r="AL6" i="11"/>
  <c r="BT5" i="11" l="1"/>
  <c r="BS6" i="11"/>
  <c r="AM6" i="11"/>
  <c r="BT6" i="11" l="1"/>
  <c r="BU5" i="11"/>
  <c r="AN6" i="11"/>
  <c r="BU6" i="11" l="1"/>
  <c r="BV5" i="11"/>
  <c r="AO6" i="11"/>
  <c r="BV6" i="11" l="1"/>
  <c r="BV4" i="11"/>
  <c r="BW5" i="11"/>
  <c r="AP6" i="11"/>
  <c r="BW6" i="11" l="1"/>
  <c r="BX5" i="11"/>
  <c r="AQ6" i="11"/>
  <c r="BY5" i="11" l="1"/>
  <c r="BX6" i="11"/>
  <c r="AR6" i="11"/>
  <c r="BZ5" i="11" l="1"/>
  <c r="BY6" i="11"/>
  <c r="AS6" i="11"/>
  <c r="CA5" i="11" l="1"/>
  <c r="BZ6" i="11"/>
  <c r="AT6" i="11"/>
  <c r="CB5" i="11" l="1"/>
  <c r="CA6" i="11"/>
  <c r="CB6" i="11" l="1"/>
  <c r="CC5" i="11"/>
  <c r="CC4" i="11" l="1"/>
  <c r="CC6" i="11"/>
  <c r="CD5" i="11"/>
  <c r="CD6" i="11" l="1"/>
  <c r="CE5" i="11"/>
  <c r="CE6" i="11" l="1"/>
  <c r="CF5" i="11"/>
  <c r="CG5" i="11" l="1"/>
  <c r="CF6" i="11"/>
  <c r="CH5" i="11" l="1"/>
  <c r="CG6" i="11"/>
  <c r="CH6" i="11" l="1"/>
  <c r="CI5" i="11"/>
  <c r="CI6" i="11" l="1"/>
  <c r="CJ5" i="11"/>
  <c r="CJ6" i="11" l="1"/>
  <c r="CJ4" i="11"/>
  <c r="CK5" i="11"/>
  <c r="CK6" i="11" l="1"/>
  <c r="CL5" i="11"/>
  <c r="CM5" i="11" l="1"/>
  <c r="CL6" i="11"/>
  <c r="CN5" i="11" l="1"/>
  <c r="CM6" i="11"/>
  <c r="CO5" i="11" l="1"/>
  <c r="CN6" i="11"/>
  <c r="CO6" i="11" l="1"/>
  <c r="CP5" i="11"/>
  <c r="CQ5" i="11" l="1"/>
  <c r="CP6" i="11"/>
  <c r="CQ6" i="11" l="1"/>
  <c r="CR5" i="11"/>
  <c r="CQ4" i="11"/>
  <c r="CR6" i="11" l="1"/>
  <c r="CS5" i="11"/>
  <c r="CT5" i="11" l="1"/>
  <c r="CS6" i="11"/>
  <c r="CT6" i="11" l="1"/>
  <c r="CU5" i="11"/>
  <c r="CU6" i="11" l="1"/>
  <c r="CV5" i="11"/>
  <c r="CV6" i="11" l="1"/>
  <c r="CW5" i="11"/>
  <c r="CX5" i="11" l="1"/>
  <c r="CW6" i="11"/>
  <c r="CY5" i="11" l="1"/>
  <c r="CX6" i="11"/>
  <c r="CX4" i="11"/>
  <c r="CZ5" i="11" l="1"/>
  <c r="CY6" i="11"/>
  <c r="CZ6" i="11" l="1"/>
  <c r="DA5" i="11"/>
  <c r="DA6" i="11" l="1"/>
  <c r="DB5" i="11"/>
  <c r="DB6" i="11" l="1"/>
  <c r="DC5" i="11"/>
  <c r="DC6" i="11" l="1"/>
  <c r="DD5" i="11"/>
  <c r="DD6" i="11" l="1"/>
  <c r="DE5" i="11"/>
  <c r="DF5" i="11" l="1"/>
  <c r="DE4" i="11"/>
  <c r="DE6" i="11"/>
  <c r="DG5" i="11" l="1"/>
  <c r="DF6" i="11"/>
  <c r="DH5" i="11" l="1"/>
  <c r="DG6" i="11"/>
  <c r="DH6" i="11" l="1"/>
  <c r="DI5" i="11"/>
  <c r="DI6" i="11" l="1"/>
  <c r="DJ5" i="11"/>
  <c r="DJ6" i="11" l="1"/>
  <c r="DK5" i="11"/>
  <c r="DL5" i="11" l="1"/>
  <c r="DK6" i="11"/>
  <c r="DL4" i="11" l="1"/>
  <c r="DM5" i="11"/>
  <c r="DL6" i="11"/>
  <c r="DN5" i="11" l="1"/>
  <c r="DM6" i="11"/>
  <c r="DO5" i="11" l="1"/>
  <c r="DN6" i="11"/>
  <c r="DO6" i="11" l="1"/>
  <c r="DP5" i="11"/>
  <c r="DP6" i="11" l="1"/>
  <c r="DQ5" i="11"/>
  <c r="DR5" i="11" l="1"/>
  <c r="DQ6" i="11"/>
  <c r="DS5" i="11" l="1"/>
  <c r="DR6" i="11"/>
  <c r="DS4" i="11" l="1"/>
  <c r="DS6" i="11"/>
  <c r="DT5" i="11"/>
  <c r="DT6" i="11" l="1"/>
  <c r="DU5" i="11"/>
  <c r="DU6" i="11" l="1"/>
  <c r="DV5" i="11"/>
  <c r="DV6" i="11" l="1"/>
  <c r="DW5" i="11"/>
  <c r="DW6" i="11" l="1"/>
  <c r="DX5" i="11"/>
  <c r="DX6" i="11" l="1"/>
  <c r="DY5" i="11"/>
  <c r="DZ5" i="11" l="1"/>
  <c r="DY6" i="11"/>
  <c r="EA5" i="11" l="1"/>
  <c r="DZ6" i="11"/>
  <c r="DZ4" i="11"/>
  <c r="EA6" i="11" l="1"/>
  <c r="EB5" i="11"/>
  <c r="EB6" i="11" l="1"/>
  <c r="EC5" i="11"/>
  <c r="EC6" i="11" l="1"/>
  <c r="ED5" i="11"/>
  <c r="ED6" i="11" l="1"/>
  <c r="EE5" i="11"/>
  <c r="EE6" i="11" l="1"/>
  <c r="EF5" i="11"/>
  <c r="EF6" i="11" l="1"/>
  <c r="EG5" i="11"/>
  <c r="EH5" i="11" l="1"/>
  <c r="EG6" i="11"/>
  <c r="EG4" i="11"/>
  <c r="EI5" i="11" l="1"/>
  <c r="EH6" i="11"/>
  <c r="EI6" i="11" l="1"/>
  <c r="EJ5" i="11"/>
  <c r="EJ6" i="11" l="1"/>
  <c r="EK5" i="11"/>
  <c r="EL5" i="11" l="1"/>
  <c r="EK6" i="11"/>
  <c r="EL6" i="11" l="1"/>
  <c r="EM5" i="11"/>
  <c r="EM6" i="11" l="1"/>
  <c r="EN5" i="11"/>
  <c r="EN6" i="11" l="1"/>
  <c r="EO5" i="11"/>
  <c r="EN4" i="11"/>
  <c r="EO6" i="11" l="1"/>
  <c r="EP5" i="11"/>
  <c r="EQ5" i="11" l="1"/>
  <c r="EP6" i="11"/>
  <c r="ER5" i="11" l="1"/>
  <c r="EQ6" i="11"/>
  <c r="ES5" i="11" l="1"/>
  <c r="ER6" i="11"/>
  <c r="ET5" i="11" l="1"/>
  <c r="ES6" i="11"/>
  <c r="ET6" i="11" l="1"/>
  <c r="EU5" i="11"/>
  <c r="EU4" i="11" l="1"/>
  <c r="EU6" i="11"/>
  <c r="EV5" i="11"/>
  <c r="EV6" i="11" l="1"/>
  <c r="EW5" i="11"/>
  <c r="EX5" i="11" l="1"/>
  <c r="EW6" i="11"/>
  <c r="EY5" i="11" l="1"/>
  <c r="EX6" i="11"/>
  <c r="EY6" i="11" l="1"/>
  <c r="EZ5" i="11"/>
  <c r="FA5" i="11" l="1"/>
  <c r="EZ6" i="11"/>
  <c r="FA6" i="11" l="1"/>
  <c r="FB5" i="11"/>
  <c r="FB6" i="11" l="1"/>
  <c r="FC5" i="11"/>
  <c r="FB4" i="11"/>
  <c r="FD5" i="11" l="1"/>
  <c r="FC6" i="11"/>
  <c r="FD6" i="11" l="1"/>
  <c r="FE5" i="11"/>
  <c r="FE6" i="11" l="1"/>
  <c r="FF5" i="11"/>
  <c r="FG5" i="11" l="1"/>
  <c r="FF6" i="11"/>
  <c r="FG6" i="11" l="1"/>
  <c r="FH5" i="11"/>
  <c r="FI5" i="11" l="1"/>
  <c r="FH6" i="11"/>
  <c r="FI6" i="11" l="1"/>
  <c r="FI4" i="11"/>
  <c r="FJ5" i="11"/>
  <c r="FJ6" i="11" l="1"/>
  <c r="FK5" i="11"/>
  <c r="FK6" i="11" l="1"/>
  <c r="FL5" i="11"/>
  <c r="FL6" i="11" l="1"/>
  <c r="FM5" i="11"/>
  <c r="FN5" i="11" l="1"/>
  <c r="FM6" i="11"/>
  <c r="FO5" i="11" l="1"/>
  <c r="FN6" i="11"/>
  <c r="FP5" i="11" l="1"/>
  <c r="FO6" i="11"/>
  <c r="FP6" i="11" l="1"/>
  <c r="FP4" i="11"/>
  <c r="FQ5" i="11"/>
  <c r="FQ6" i="11" l="1"/>
  <c r="FR5" i="11"/>
  <c r="FR6" i="11" l="1"/>
  <c r="FS5" i="11"/>
  <c r="FS6" i="11" l="1"/>
  <c r="FT5" i="11"/>
  <c r="FT6" i="11" l="1"/>
  <c r="FU5" i="11"/>
  <c r="FV5" i="11" l="1"/>
  <c r="FV6" i="11" s="1"/>
  <c r="FU6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Vertex42.com Templates</author>
  </authors>
  <commentList>
    <comment ref="J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DAYS:</t>
        </r>
        <r>
          <rPr>
            <sz val="9"/>
            <color indexed="81"/>
            <rFont val="Tahoma"/>
            <family val="2"/>
          </rPr>
          <t xml:space="preserve">
This column calculates the duration of the task in calendar days. The duration includes both the Start and End dates.</t>
        </r>
      </text>
    </comment>
  </commentList>
</comments>
</file>

<file path=xl/sharedStrings.xml><?xml version="1.0" encoding="utf-8"?>
<sst xmlns="http://schemas.openxmlformats.org/spreadsheetml/2006/main" count="28" uniqueCount="28">
  <si>
    <t>AFS PROJECT-PLAN</t>
  </si>
  <si>
    <t>https://www.vertex42.com/Files/download2/themed.php?file=simple-gantt-chart_ms.xlsx</t>
  </si>
  <si>
    <t>Project Start:</t>
  </si>
  <si>
    <t>Today:</t>
  </si>
  <si>
    <t>Display Week:</t>
  </si>
  <si>
    <t>#</t>
  </si>
  <si>
    <t>TASK</t>
  </si>
  <si>
    <t>RESPONSIBLE</t>
  </si>
  <si>
    <t>NOTES</t>
  </si>
  <si>
    <t>PROGRESS</t>
  </si>
  <si>
    <t>START</t>
  </si>
  <si>
    <t>END</t>
  </si>
  <si>
    <t>DAYS</t>
  </si>
  <si>
    <t>CVOL04 | #CHR00000000</t>
  </si>
  <si>
    <t>bla-bla plan</t>
  </si>
  <si>
    <t>dfsfdsf</t>
  </si>
  <si>
    <t>CVOL05 | #CHR00000000</t>
  </si>
  <si>
    <t>CVOL07 | #CHR00000000</t>
  </si>
  <si>
    <t>Extend volume to 7TB</t>
  </si>
  <si>
    <t>CVOL08 | #CHR00000000</t>
  </si>
  <si>
    <t>TBD</t>
  </si>
  <si>
    <t>CVOL09 | #CHR00000000</t>
  </si>
  <si>
    <t>CVOL10 | #CHR00000000</t>
  </si>
  <si>
    <t>CVOL11 | #CHR00000000</t>
  </si>
  <si>
    <t>CVOL12 | #CHR00000000</t>
  </si>
  <si>
    <t>CVOL13 | #CHR00000000</t>
  </si>
  <si>
    <t>CVOL14 | #CHR00000000</t>
  </si>
  <si>
    <t>CVOL15 | #CHR00000000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</si>
</sst>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m/d/yy;@"/>
    <numFmt numFmtId="165" formatCode="ddd\,\ m/d/yyyy"/>
    <numFmt numFmtId="166" formatCode="mmm\ d\,\ yyyy"/>
    <numFmt numFmtId="167" formatCode="d"/>
    <numFmt numFmtId="168" formatCode="0.0"/>
  </numFmts>
  <fonts count="18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9"/>
      <color theme="4" tint="-0.249977111117893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ajor"/>
    </font>
    <font>
      <b/>
      <sz val="2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 style="medium">
        <color theme="0" tint="-0.14996795556505021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medium">
        <color theme="0" tint="-4.9989318521683403E-2"/>
      </top>
      <bottom style="medium">
        <color theme="0" tint="-4.9989318521683403E-2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5" fillId="4" borderId="1" xfId="0" applyFont="1" applyFill="1" applyBorder="1" applyAlignment="1">
      <alignment horizontal="center" vertical="center" wrapText="1"/>
    </xf>
    <xf numFmtId="167" fontId="9" fillId="2" borderId="0" xfId="0" applyNumberFormat="1" applyFont="1" applyFill="1" applyAlignment="1">
      <alignment horizontal="center" vertical="center"/>
    </xf>
    <xf numFmtId="167" fontId="9" fillId="2" borderId="8" xfId="0" applyNumberFormat="1" applyFont="1" applyFill="1" applyBorder="1" applyAlignment="1">
      <alignment horizontal="center" vertical="center"/>
    </xf>
    <xf numFmtId="167" fontId="9" fillId="2" borderId="9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0" fillId="0" borderId="2" xfId="0" applyBorder="1" applyAlignment="1">
      <alignment horizontal="left" vertical="center" indent="1"/>
    </xf>
    <xf numFmtId="9" fontId="3" fillId="0" borderId="2" xfId="2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7" fillId="0" borderId="0" xfId="0" applyFont="1"/>
    <xf numFmtId="0" fontId="5" fillId="4" borderId="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left" vertical="center" indent="1"/>
    </xf>
    <xf numFmtId="9" fontId="3" fillId="5" borderId="10" xfId="2" applyFont="1" applyFill="1" applyBorder="1" applyAlignment="1">
      <alignment horizontal="center" vertical="center"/>
    </xf>
    <xf numFmtId="164" fontId="0" fillId="5" borderId="10" xfId="0" applyNumberFormat="1" applyFill="1" applyBorder="1" applyAlignment="1">
      <alignment horizontal="center" vertical="center"/>
    </xf>
    <xf numFmtId="164" fontId="3" fillId="5" borderId="10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11" xfId="0" applyBorder="1" applyAlignment="1">
      <alignment vertical="center"/>
    </xf>
    <xf numFmtId="0" fontId="12" fillId="3" borderId="12" xfId="0" applyFont="1" applyFill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 indent="2"/>
    </xf>
    <xf numFmtId="9" fontId="3" fillId="0" borderId="13" xfId="2" applyFont="1" applyFill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5" borderId="13" xfId="0" applyFont="1" applyFill="1" applyBorder="1" applyAlignment="1">
      <alignment horizontal="left" vertical="center" indent="1"/>
    </xf>
    <xf numFmtId="9" fontId="3" fillId="5" borderId="13" xfId="2" applyFont="1" applyFill="1" applyBorder="1" applyAlignment="1">
      <alignment horizontal="center" vertical="center"/>
    </xf>
    <xf numFmtId="164" fontId="0" fillId="5" borderId="13" xfId="0" applyNumberFormat="1" applyFill="1" applyBorder="1" applyAlignment="1">
      <alignment horizontal="center" vertical="center"/>
    </xf>
    <xf numFmtId="164" fontId="3" fillId="5" borderId="13" xfId="0" applyNumberFormat="1" applyFont="1" applyFill="1" applyBorder="1" applyAlignment="1">
      <alignment horizontal="center" vertical="center"/>
    </xf>
    <xf numFmtId="168" fontId="16" fillId="0" borderId="13" xfId="0" applyNumberFormat="1" applyFont="1" applyBorder="1" applyAlignment="1">
      <alignment vertical="center"/>
    </xf>
    <xf numFmtId="0" fontId="4" fillId="5" borderId="10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166" fontId="0" fillId="2" borderId="6" xfId="0" applyNumberFormat="1" applyFill="1" applyBorder="1" applyAlignment="1">
      <alignment horizontal="left" vertical="center" wrapText="1" indent="1"/>
    </xf>
    <xf numFmtId="166" fontId="0" fillId="2" borderId="1" xfId="0" applyNumberFormat="1" applyFill="1" applyBorder="1" applyAlignment="1">
      <alignment horizontal="left" vertical="center" wrapText="1" indent="1"/>
    </xf>
    <xf numFmtId="166" fontId="0" fillId="2" borderId="7" xfId="0" applyNumberFormat="1" applyFill="1" applyBorder="1" applyAlignment="1">
      <alignment horizontal="left" vertical="center" wrapText="1" indent="1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2" fillId="0" borderId="0" xfId="1" applyAlignment="1" applyProtection="1">
      <alignment horizontal="left" vertical="center"/>
    </xf>
    <xf numFmtId="0" fontId="14" fillId="0" borderId="0" xfId="1" applyFont="1" applyAlignment="1" applyProtection="1">
      <alignment horizontal="left" vertical="center"/>
    </xf>
    <xf numFmtId="0" fontId="17" fillId="0" borderId="0" xfId="0" applyFont="1" applyAlignment="1"/>
  </cellXfs>
  <cellStyles count="3">
    <cellStyle name="Відсотковий" xfId="2" builtinId="5"/>
    <cellStyle name="Гіперпосилання" xfId="1" builtinId="8" customBuiltin="1"/>
    <cellStyle name="Звичайний" xfId="0" builtinId="0"/>
  </cellStyles>
  <dxfs count="14">
    <dxf>
      <fill>
        <patternFill>
          <bgColor theme="7"/>
        </patternFill>
      </fill>
      <border>
        <left/>
        <right/>
      </border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vertex42.com/Files/download2/themed.php?file=simple-gantt-chart_ms.xlsx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V82"/>
  <sheetViews>
    <sheetView showGridLines="0" tabSelected="1" showRuler="0" zoomScaleNormal="100" zoomScalePageLayoutView="70" workbookViewId="0">
      <pane ySplit="6" topLeftCell="A7" activePane="bottomLeft" state="frozen"/>
      <selection pane="bottomLeft" activeCell="Q31" sqref="Q31"/>
    </sheetView>
  </sheetViews>
  <sheetFormatPr defaultRowHeight="15" outlineLevelRow="1" outlineLevelCol="1"/>
  <cols>
    <col min="1" max="1" width="2.7109375" customWidth="1"/>
    <col min="2" max="2" width="4.28515625" customWidth="1"/>
    <col min="3" max="3" width="59" customWidth="1"/>
    <col min="4" max="4" width="13.85546875" hidden="1" customWidth="1" outlineLevel="1"/>
    <col min="5" max="5" width="11.28515625" hidden="1" customWidth="1" outlineLevel="1"/>
    <col min="6" max="6" width="12.140625" customWidth="1" collapsed="1"/>
    <col min="7" max="7" width="8.5703125" style="4" customWidth="1"/>
    <col min="8" max="8" width="8.28515625" customWidth="1"/>
    <col min="9" max="9" width="2.7109375" customWidth="1"/>
    <col min="10" max="10" width="6.140625" hidden="1" customWidth="1"/>
    <col min="11" max="178" width="2.5703125" customWidth="1"/>
  </cols>
  <sheetData>
    <row r="1" spans="1:178" ht="12" customHeight="1">
      <c r="B1" s="50"/>
      <c r="C1" s="50" t="s">
        <v>0</v>
      </c>
      <c r="D1" s="20"/>
      <c r="E1" s="20"/>
      <c r="F1" s="1"/>
      <c r="G1" s="3"/>
      <c r="H1" s="19"/>
      <c r="J1" s="1"/>
      <c r="K1" s="7"/>
      <c r="L1" s="48" t="s">
        <v>1</v>
      </c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</row>
    <row r="2" spans="1:178" ht="13.5" customHeight="1">
      <c r="B2" s="50"/>
      <c r="C2" s="50"/>
      <c r="D2" s="20"/>
      <c r="E2" s="20"/>
      <c r="F2" s="5" t="s">
        <v>2</v>
      </c>
      <c r="G2" s="46">
        <v>43858</v>
      </c>
      <c r="H2" s="47"/>
    </row>
    <row r="3" spans="1:178" ht="14.25" customHeight="1">
      <c r="B3" s="8"/>
      <c r="C3" s="8"/>
      <c r="D3" s="8"/>
      <c r="E3" s="8"/>
      <c r="F3" s="5" t="s">
        <v>3</v>
      </c>
      <c r="G3" s="46">
        <f ca="1">TODAY()</f>
        <v>45406</v>
      </c>
      <c r="H3" s="47"/>
    </row>
    <row r="4" spans="1:178" ht="13.5" customHeight="1">
      <c r="F4" s="5" t="s">
        <v>4</v>
      </c>
      <c r="G4" s="6">
        <v>1</v>
      </c>
      <c r="K4" s="43">
        <f>K5</f>
        <v>43857</v>
      </c>
      <c r="L4" s="44"/>
      <c r="M4" s="44"/>
      <c r="N4" s="44"/>
      <c r="O4" s="44"/>
      <c r="P4" s="44"/>
      <c r="Q4" s="45"/>
      <c r="R4" s="43">
        <f>R5</f>
        <v>43864</v>
      </c>
      <c r="S4" s="44"/>
      <c r="T4" s="44"/>
      <c r="U4" s="44"/>
      <c r="V4" s="44"/>
      <c r="W4" s="44"/>
      <c r="X4" s="45"/>
      <c r="Y4" s="43">
        <f>Y5</f>
        <v>43871</v>
      </c>
      <c r="Z4" s="44"/>
      <c r="AA4" s="44"/>
      <c r="AB4" s="44"/>
      <c r="AC4" s="44"/>
      <c r="AD4" s="44"/>
      <c r="AE4" s="45"/>
      <c r="AF4" s="43">
        <f>AF5</f>
        <v>43878</v>
      </c>
      <c r="AG4" s="44"/>
      <c r="AH4" s="44"/>
      <c r="AI4" s="44"/>
      <c r="AJ4" s="44"/>
      <c r="AK4" s="44"/>
      <c r="AL4" s="45"/>
      <c r="AM4" s="43">
        <f>AM5</f>
        <v>43885</v>
      </c>
      <c r="AN4" s="44"/>
      <c r="AO4" s="44"/>
      <c r="AP4" s="44"/>
      <c r="AQ4" s="44"/>
      <c r="AR4" s="44"/>
      <c r="AS4" s="45"/>
      <c r="AT4" s="43">
        <f>AT5</f>
        <v>43892</v>
      </c>
      <c r="AU4" s="44"/>
      <c r="AV4" s="44"/>
      <c r="AW4" s="44"/>
      <c r="AX4" s="44"/>
      <c r="AY4" s="44"/>
      <c r="AZ4" s="45"/>
      <c r="BA4" s="43">
        <f>BA5</f>
        <v>43899</v>
      </c>
      <c r="BB4" s="44"/>
      <c r="BC4" s="44"/>
      <c r="BD4" s="44"/>
      <c r="BE4" s="44"/>
      <c r="BF4" s="44"/>
      <c r="BG4" s="45"/>
      <c r="BH4" s="43">
        <f>BH5</f>
        <v>43906</v>
      </c>
      <c r="BI4" s="44"/>
      <c r="BJ4" s="44"/>
      <c r="BK4" s="44"/>
      <c r="BL4" s="44"/>
      <c r="BM4" s="44"/>
      <c r="BN4" s="45"/>
      <c r="BO4" s="43">
        <f>BO5</f>
        <v>43913</v>
      </c>
      <c r="BP4" s="44"/>
      <c r="BQ4" s="44"/>
      <c r="BR4" s="44"/>
      <c r="BS4" s="44"/>
      <c r="BT4" s="44"/>
      <c r="BU4" s="45"/>
      <c r="BV4" s="43">
        <f>BV5</f>
        <v>43920</v>
      </c>
      <c r="BW4" s="44"/>
      <c r="BX4" s="44"/>
      <c r="BY4" s="44"/>
      <c r="BZ4" s="44"/>
      <c r="CA4" s="44"/>
      <c r="CB4" s="45"/>
      <c r="CC4" s="43">
        <f>CC5</f>
        <v>43927</v>
      </c>
      <c r="CD4" s="44"/>
      <c r="CE4" s="44"/>
      <c r="CF4" s="44"/>
      <c r="CG4" s="44"/>
      <c r="CH4" s="44"/>
      <c r="CI4" s="45"/>
      <c r="CJ4" s="43">
        <f>CJ5</f>
        <v>43934</v>
      </c>
      <c r="CK4" s="44"/>
      <c r="CL4" s="44"/>
      <c r="CM4" s="44"/>
      <c r="CN4" s="44"/>
      <c r="CO4" s="44"/>
      <c r="CP4" s="45"/>
      <c r="CQ4" s="43">
        <f>CQ5</f>
        <v>43941</v>
      </c>
      <c r="CR4" s="44"/>
      <c r="CS4" s="44"/>
      <c r="CT4" s="44"/>
      <c r="CU4" s="44"/>
      <c r="CV4" s="44"/>
      <c r="CW4" s="45"/>
      <c r="CX4" s="43">
        <f>CX5</f>
        <v>43948</v>
      </c>
      <c r="CY4" s="44"/>
      <c r="CZ4" s="44"/>
      <c r="DA4" s="44"/>
      <c r="DB4" s="44"/>
      <c r="DC4" s="44"/>
      <c r="DD4" s="45"/>
      <c r="DE4" s="43">
        <f>DE5</f>
        <v>43955</v>
      </c>
      <c r="DF4" s="44"/>
      <c r="DG4" s="44"/>
      <c r="DH4" s="44"/>
      <c r="DI4" s="44"/>
      <c r="DJ4" s="44"/>
      <c r="DK4" s="45"/>
      <c r="DL4" s="43">
        <f>DL5</f>
        <v>43962</v>
      </c>
      <c r="DM4" s="44"/>
      <c r="DN4" s="44"/>
      <c r="DO4" s="44"/>
      <c r="DP4" s="44"/>
      <c r="DQ4" s="44"/>
      <c r="DR4" s="45"/>
      <c r="DS4" s="43">
        <f>DS5</f>
        <v>43969</v>
      </c>
      <c r="DT4" s="44"/>
      <c r="DU4" s="44"/>
      <c r="DV4" s="44"/>
      <c r="DW4" s="44"/>
      <c r="DX4" s="44"/>
      <c r="DY4" s="45"/>
      <c r="DZ4" s="43">
        <f>DZ5</f>
        <v>43976</v>
      </c>
      <c r="EA4" s="44"/>
      <c r="EB4" s="44"/>
      <c r="EC4" s="44"/>
      <c r="ED4" s="44"/>
      <c r="EE4" s="44"/>
      <c r="EF4" s="45"/>
      <c r="EG4" s="43">
        <f>EG5</f>
        <v>43983</v>
      </c>
      <c r="EH4" s="44"/>
      <c r="EI4" s="44"/>
      <c r="EJ4" s="44"/>
      <c r="EK4" s="44"/>
      <c r="EL4" s="44"/>
      <c r="EM4" s="45"/>
      <c r="EN4" s="43">
        <f>EN5</f>
        <v>43990</v>
      </c>
      <c r="EO4" s="44"/>
      <c r="EP4" s="44"/>
      <c r="EQ4" s="44"/>
      <c r="ER4" s="44"/>
      <c r="ES4" s="44"/>
      <c r="ET4" s="45"/>
      <c r="EU4" s="43">
        <f>EU5</f>
        <v>43997</v>
      </c>
      <c r="EV4" s="44"/>
      <c r="EW4" s="44"/>
      <c r="EX4" s="44"/>
      <c r="EY4" s="44"/>
      <c r="EZ4" s="44"/>
      <c r="FA4" s="45"/>
      <c r="FB4" s="43">
        <f>FB5</f>
        <v>44004</v>
      </c>
      <c r="FC4" s="44"/>
      <c r="FD4" s="44"/>
      <c r="FE4" s="44"/>
      <c r="FF4" s="44"/>
      <c r="FG4" s="44"/>
      <c r="FH4" s="45"/>
      <c r="FI4" s="43">
        <f>FI5</f>
        <v>44011</v>
      </c>
      <c r="FJ4" s="44"/>
      <c r="FK4" s="44"/>
      <c r="FL4" s="44"/>
      <c r="FM4" s="44"/>
      <c r="FN4" s="44"/>
      <c r="FO4" s="45"/>
      <c r="FP4" s="43">
        <f>FP5</f>
        <v>44018</v>
      </c>
      <c r="FQ4" s="44"/>
      <c r="FR4" s="44"/>
      <c r="FS4" s="44"/>
      <c r="FT4" s="44"/>
      <c r="FU4" s="44"/>
      <c r="FV4" s="45"/>
    </row>
    <row r="5" spans="1:178">
      <c r="A5" s="5"/>
      <c r="I5" s="5"/>
      <c r="K5" s="11">
        <f>G2-WEEKDAY(G2,1)+2+7*(G4-1)</f>
        <v>43857</v>
      </c>
      <c r="L5" s="10">
        <f>K5+1</f>
        <v>43858</v>
      </c>
      <c r="M5" s="10">
        <f t="shared" ref="M5:AZ5" si="0">L5+1</f>
        <v>43859</v>
      </c>
      <c r="N5" s="10">
        <f t="shared" si="0"/>
        <v>43860</v>
      </c>
      <c r="O5" s="10">
        <f t="shared" si="0"/>
        <v>43861</v>
      </c>
      <c r="P5" s="10">
        <f t="shared" si="0"/>
        <v>43862</v>
      </c>
      <c r="Q5" s="12">
        <f t="shared" si="0"/>
        <v>43863</v>
      </c>
      <c r="R5" s="11">
        <f>Q5+1</f>
        <v>43864</v>
      </c>
      <c r="S5" s="10">
        <f>R5+1</f>
        <v>43865</v>
      </c>
      <c r="T5" s="10">
        <f t="shared" si="0"/>
        <v>43866</v>
      </c>
      <c r="U5" s="10">
        <f t="shared" si="0"/>
        <v>43867</v>
      </c>
      <c r="V5" s="10">
        <f t="shared" si="0"/>
        <v>43868</v>
      </c>
      <c r="W5" s="10">
        <f t="shared" si="0"/>
        <v>43869</v>
      </c>
      <c r="X5" s="12">
        <f t="shared" si="0"/>
        <v>43870</v>
      </c>
      <c r="Y5" s="11">
        <f>X5+1</f>
        <v>43871</v>
      </c>
      <c r="Z5" s="10">
        <f>Y5+1</f>
        <v>43872</v>
      </c>
      <c r="AA5" s="10">
        <f t="shared" si="0"/>
        <v>43873</v>
      </c>
      <c r="AB5" s="10">
        <f t="shared" si="0"/>
        <v>43874</v>
      </c>
      <c r="AC5" s="10">
        <f t="shared" si="0"/>
        <v>43875</v>
      </c>
      <c r="AD5" s="10">
        <f t="shared" si="0"/>
        <v>43876</v>
      </c>
      <c r="AE5" s="12">
        <f t="shared" si="0"/>
        <v>43877</v>
      </c>
      <c r="AF5" s="11">
        <f>AE5+1</f>
        <v>43878</v>
      </c>
      <c r="AG5" s="10">
        <f>AF5+1</f>
        <v>43879</v>
      </c>
      <c r="AH5" s="10">
        <f t="shared" si="0"/>
        <v>43880</v>
      </c>
      <c r="AI5" s="10">
        <f t="shared" si="0"/>
        <v>43881</v>
      </c>
      <c r="AJ5" s="10">
        <f t="shared" si="0"/>
        <v>43882</v>
      </c>
      <c r="AK5" s="10">
        <f t="shared" si="0"/>
        <v>43883</v>
      </c>
      <c r="AL5" s="12">
        <f t="shared" si="0"/>
        <v>43884</v>
      </c>
      <c r="AM5" s="11">
        <f>AL5+1</f>
        <v>43885</v>
      </c>
      <c r="AN5" s="10">
        <f>AM5+1</f>
        <v>43886</v>
      </c>
      <c r="AO5" s="10">
        <f t="shared" si="0"/>
        <v>43887</v>
      </c>
      <c r="AP5" s="10">
        <f t="shared" si="0"/>
        <v>43888</v>
      </c>
      <c r="AQ5" s="10">
        <f t="shared" si="0"/>
        <v>43889</v>
      </c>
      <c r="AR5" s="10">
        <f t="shared" si="0"/>
        <v>43890</v>
      </c>
      <c r="AS5" s="12">
        <f t="shared" si="0"/>
        <v>43891</v>
      </c>
      <c r="AT5" s="11">
        <f>AS5+1</f>
        <v>43892</v>
      </c>
      <c r="AU5" s="10">
        <f>AT5+1</f>
        <v>43893</v>
      </c>
      <c r="AV5" s="10">
        <f t="shared" si="0"/>
        <v>43894</v>
      </c>
      <c r="AW5" s="10">
        <f t="shared" si="0"/>
        <v>43895</v>
      </c>
      <c r="AX5" s="10">
        <f t="shared" si="0"/>
        <v>43896</v>
      </c>
      <c r="AY5" s="10">
        <f t="shared" si="0"/>
        <v>43897</v>
      </c>
      <c r="AZ5" s="12">
        <f t="shared" si="0"/>
        <v>43898</v>
      </c>
      <c r="BA5" s="11">
        <f>AZ5+1</f>
        <v>43899</v>
      </c>
      <c r="BB5" s="10">
        <f>BA5+1</f>
        <v>43900</v>
      </c>
      <c r="BC5" s="10">
        <f t="shared" ref="BC5:BG5" si="1">BB5+1</f>
        <v>43901</v>
      </c>
      <c r="BD5" s="10">
        <f t="shared" si="1"/>
        <v>43902</v>
      </c>
      <c r="BE5" s="10">
        <f t="shared" si="1"/>
        <v>43903</v>
      </c>
      <c r="BF5" s="10">
        <f t="shared" si="1"/>
        <v>43904</v>
      </c>
      <c r="BG5" s="12">
        <f t="shared" si="1"/>
        <v>43905</v>
      </c>
      <c r="BH5" s="11">
        <f>BG5+1</f>
        <v>43906</v>
      </c>
      <c r="BI5" s="10">
        <f>BH5+1</f>
        <v>43907</v>
      </c>
      <c r="BJ5" s="10">
        <f t="shared" ref="BJ5:BN5" si="2">BI5+1</f>
        <v>43908</v>
      </c>
      <c r="BK5" s="10">
        <f t="shared" si="2"/>
        <v>43909</v>
      </c>
      <c r="BL5" s="10">
        <f t="shared" si="2"/>
        <v>43910</v>
      </c>
      <c r="BM5" s="10">
        <f t="shared" si="2"/>
        <v>43911</v>
      </c>
      <c r="BN5" s="12">
        <f t="shared" si="2"/>
        <v>43912</v>
      </c>
      <c r="BO5" s="11">
        <f>BN5+1</f>
        <v>43913</v>
      </c>
      <c r="BP5" s="10">
        <f>BO5+1</f>
        <v>43914</v>
      </c>
      <c r="BQ5" s="10">
        <f t="shared" ref="BQ5" si="3">BP5+1</f>
        <v>43915</v>
      </c>
      <c r="BR5" s="10">
        <f t="shared" ref="BR5" si="4">BQ5+1</f>
        <v>43916</v>
      </c>
      <c r="BS5" s="10">
        <f t="shared" ref="BS5" si="5">BR5+1</f>
        <v>43917</v>
      </c>
      <c r="BT5" s="10">
        <f t="shared" ref="BT5" si="6">BS5+1</f>
        <v>43918</v>
      </c>
      <c r="BU5" s="12">
        <f t="shared" ref="BU5" si="7">BT5+1</f>
        <v>43919</v>
      </c>
      <c r="BV5" s="11">
        <f>BU5+1</f>
        <v>43920</v>
      </c>
      <c r="BW5" s="10">
        <f>BV5+1</f>
        <v>43921</v>
      </c>
      <c r="BX5" s="10">
        <f t="shared" ref="BX5" si="8">BW5+1</f>
        <v>43922</v>
      </c>
      <c r="BY5" s="10">
        <f t="shared" ref="BY5" si="9">BX5+1</f>
        <v>43923</v>
      </c>
      <c r="BZ5" s="10">
        <f t="shared" ref="BZ5" si="10">BY5+1</f>
        <v>43924</v>
      </c>
      <c r="CA5" s="10">
        <f t="shared" ref="CA5" si="11">BZ5+1</f>
        <v>43925</v>
      </c>
      <c r="CB5" s="12">
        <f t="shared" ref="CB5" si="12">CA5+1</f>
        <v>43926</v>
      </c>
      <c r="CC5" s="11">
        <f>CB5+1</f>
        <v>43927</v>
      </c>
      <c r="CD5" s="10">
        <f>CC5+1</f>
        <v>43928</v>
      </c>
      <c r="CE5" s="10">
        <f t="shared" ref="CE5" si="13">CD5+1</f>
        <v>43929</v>
      </c>
      <c r="CF5" s="10">
        <f t="shared" ref="CF5" si="14">CE5+1</f>
        <v>43930</v>
      </c>
      <c r="CG5" s="10">
        <f t="shared" ref="CG5" si="15">CF5+1</f>
        <v>43931</v>
      </c>
      <c r="CH5" s="10">
        <f t="shared" ref="CH5" si="16">CG5+1</f>
        <v>43932</v>
      </c>
      <c r="CI5" s="12">
        <f t="shared" ref="CI5" si="17">CH5+1</f>
        <v>43933</v>
      </c>
      <c r="CJ5" s="11">
        <f>CI5+1</f>
        <v>43934</v>
      </c>
      <c r="CK5" s="10">
        <f>CJ5+1</f>
        <v>43935</v>
      </c>
      <c r="CL5" s="10">
        <f t="shared" ref="CL5" si="18">CK5+1</f>
        <v>43936</v>
      </c>
      <c r="CM5" s="10">
        <f t="shared" ref="CM5" si="19">CL5+1</f>
        <v>43937</v>
      </c>
      <c r="CN5" s="10">
        <f t="shared" ref="CN5" si="20">CM5+1</f>
        <v>43938</v>
      </c>
      <c r="CO5" s="10">
        <f t="shared" ref="CO5" si="21">CN5+1</f>
        <v>43939</v>
      </c>
      <c r="CP5" s="12">
        <f t="shared" ref="CP5" si="22">CO5+1</f>
        <v>43940</v>
      </c>
      <c r="CQ5" s="11">
        <f>CP5+1</f>
        <v>43941</v>
      </c>
      <c r="CR5" s="10">
        <f>CQ5+1</f>
        <v>43942</v>
      </c>
      <c r="CS5" s="10">
        <f t="shared" ref="CS5" si="23">CR5+1</f>
        <v>43943</v>
      </c>
      <c r="CT5" s="10">
        <f t="shared" ref="CT5" si="24">CS5+1</f>
        <v>43944</v>
      </c>
      <c r="CU5" s="10">
        <f t="shared" ref="CU5" si="25">CT5+1</f>
        <v>43945</v>
      </c>
      <c r="CV5" s="10">
        <f t="shared" ref="CV5" si="26">CU5+1</f>
        <v>43946</v>
      </c>
      <c r="CW5" s="12">
        <f t="shared" ref="CW5" si="27">CV5+1</f>
        <v>43947</v>
      </c>
      <c r="CX5" s="11">
        <f>CW5+1</f>
        <v>43948</v>
      </c>
      <c r="CY5" s="10">
        <f>CX5+1</f>
        <v>43949</v>
      </c>
      <c r="CZ5" s="10">
        <f t="shared" ref="CZ5" si="28">CY5+1</f>
        <v>43950</v>
      </c>
      <c r="DA5" s="10">
        <f t="shared" ref="DA5" si="29">CZ5+1</f>
        <v>43951</v>
      </c>
      <c r="DB5" s="10">
        <f t="shared" ref="DB5" si="30">DA5+1</f>
        <v>43952</v>
      </c>
      <c r="DC5" s="10">
        <f t="shared" ref="DC5" si="31">DB5+1</f>
        <v>43953</v>
      </c>
      <c r="DD5" s="12">
        <f t="shared" ref="DD5" si="32">DC5+1</f>
        <v>43954</v>
      </c>
      <c r="DE5" s="11">
        <f>DD5+1</f>
        <v>43955</v>
      </c>
      <c r="DF5" s="10">
        <f>DE5+1</f>
        <v>43956</v>
      </c>
      <c r="DG5" s="10">
        <f t="shared" ref="DG5" si="33">DF5+1</f>
        <v>43957</v>
      </c>
      <c r="DH5" s="10">
        <f t="shared" ref="DH5" si="34">DG5+1</f>
        <v>43958</v>
      </c>
      <c r="DI5" s="10">
        <f t="shared" ref="DI5" si="35">DH5+1</f>
        <v>43959</v>
      </c>
      <c r="DJ5" s="10">
        <f t="shared" ref="DJ5" si="36">DI5+1</f>
        <v>43960</v>
      </c>
      <c r="DK5" s="12">
        <f t="shared" ref="DK5" si="37">DJ5+1</f>
        <v>43961</v>
      </c>
      <c r="DL5" s="11">
        <f>DK5+1</f>
        <v>43962</v>
      </c>
      <c r="DM5" s="10">
        <f>DL5+1</f>
        <v>43963</v>
      </c>
      <c r="DN5" s="10">
        <f t="shared" ref="DN5" si="38">DM5+1</f>
        <v>43964</v>
      </c>
      <c r="DO5" s="10">
        <f t="shared" ref="DO5" si="39">DN5+1</f>
        <v>43965</v>
      </c>
      <c r="DP5" s="10">
        <f t="shared" ref="DP5" si="40">DO5+1</f>
        <v>43966</v>
      </c>
      <c r="DQ5" s="10">
        <f t="shared" ref="DQ5" si="41">DP5+1</f>
        <v>43967</v>
      </c>
      <c r="DR5" s="12">
        <f t="shared" ref="DR5" si="42">DQ5+1</f>
        <v>43968</v>
      </c>
      <c r="DS5" s="11">
        <f>DR5+1</f>
        <v>43969</v>
      </c>
      <c r="DT5" s="10">
        <f>DS5+1</f>
        <v>43970</v>
      </c>
      <c r="DU5" s="10">
        <f t="shared" ref="DU5" si="43">DT5+1</f>
        <v>43971</v>
      </c>
      <c r="DV5" s="10">
        <f t="shared" ref="DV5" si="44">DU5+1</f>
        <v>43972</v>
      </c>
      <c r="DW5" s="10">
        <f t="shared" ref="DW5" si="45">DV5+1</f>
        <v>43973</v>
      </c>
      <c r="DX5" s="10">
        <f t="shared" ref="DX5" si="46">DW5+1</f>
        <v>43974</v>
      </c>
      <c r="DY5" s="12">
        <f t="shared" ref="DY5" si="47">DX5+1</f>
        <v>43975</v>
      </c>
      <c r="DZ5" s="11">
        <f>DY5+1</f>
        <v>43976</v>
      </c>
      <c r="EA5" s="10">
        <f>DZ5+1</f>
        <v>43977</v>
      </c>
      <c r="EB5" s="10">
        <f t="shared" ref="EB5" si="48">EA5+1</f>
        <v>43978</v>
      </c>
      <c r="EC5" s="10">
        <f t="shared" ref="EC5" si="49">EB5+1</f>
        <v>43979</v>
      </c>
      <c r="ED5" s="10">
        <f t="shared" ref="ED5" si="50">EC5+1</f>
        <v>43980</v>
      </c>
      <c r="EE5" s="10">
        <f t="shared" ref="EE5" si="51">ED5+1</f>
        <v>43981</v>
      </c>
      <c r="EF5" s="12">
        <f t="shared" ref="EF5" si="52">EE5+1</f>
        <v>43982</v>
      </c>
      <c r="EG5" s="11">
        <f>EF5+1</f>
        <v>43983</v>
      </c>
      <c r="EH5" s="10">
        <f>EG5+1</f>
        <v>43984</v>
      </c>
      <c r="EI5" s="10">
        <f t="shared" ref="EI5" si="53">EH5+1</f>
        <v>43985</v>
      </c>
      <c r="EJ5" s="10">
        <f t="shared" ref="EJ5" si="54">EI5+1</f>
        <v>43986</v>
      </c>
      <c r="EK5" s="10">
        <f t="shared" ref="EK5" si="55">EJ5+1</f>
        <v>43987</v>
      </c>
      <c r="EL5" s="10">
        <f t="shared" ref="EL5" si="56">EK5+1</f>
        <v>43988</v>
      </c>
      <c r="EM5" s="12">
        <f t="shared" ref="EM5" si="57">EL5+1</f>
        <v>43989</v>
      </c>
      <c r="EN5" s="11">
        <f>EM5+1</f>
        <v>43990</v>
      </c>
      <c r="EO5" s="10">
        <f>EN5+1</f>
        <v>43991</v>
      </c>
      <c r="EP5" s="10">
        <f t="shared" ref="EP5" si="58">EO5+1</f>
        <v>43992</v>
      </c>
      <c r="EQ5" s="10">
        <f t="shared" ref="EQ5" si="59">EP5+1</f>
        <v>43993</v>
      </c>
      <c r="ER5" s="10">
        <f t="shared" ref="ER5" si="60">EQ5+1</f>
        <v>43994</v>
      </c>
      <c r="ES5" s="10">
        <f t="shared" ref="ES5" si="61">ER5+1</f>
        <v>43995</v>
      </c>
      <c r="ET5" s="12">
        <f t="shared" ref="ET5" si="62">ES5+1</f>
        <v>43996</v>
      </c>
      <c r="EU5" s="11">
        <f>ET5+1</f>
        <v>43997</v>
      </c>
      <c r="EV5" s="10">
        <f>EU5+1</f>
        <v>43998</v>
      </c>
      <c r="EW5" s="10">
        <f t="shared" ref="EW5" si="63">EV5+1</f>
        <v>43999</v>
      </c>
      <c r="EX5" s="10">
        <f t="shared" ref="EX5" si="64">EW5+1</f>
        <v>44000</v>
      </c>
      <c r="EY5" s="10">
        <f t="shared" ref="EY5" si="65">EX5+1</f>
        <v>44001</v>
      </c>
      <c r="EZ5" s="10">
        <f t="shared" ref="EZ5" si="66">EY5+1</f>
        <v>44002</v>
      </c>
      <c r="FA5" s="12">
        <f t="shared" ref="FA5" si="67">EZ5+1</f>
        <v>44003</v>
      </c>
      <c r="FB5" s="11">
        <f>FA5+1</f>
        <v>44004</v>
      </c>
      <c r="FC5" s="10">
        <f>FB5+1</f>
        <v>44005</v>
      </c>
      <c r="FD5" s="10">
        <f t="shared" ref="FD5" si="68">FC5+1</f>
        <v>44006</v>
      </c>
      <c r="FE5" s="10">
        <f t="shared" ref="FE5" si="69">FD5+1</f>
        <v>44007</v>
      </c>
      <c r="FF5" s="10">
        <f t="shared" ref="FF5" si="70">FE5+1</f>
        <v>44008</v>
      </c>
      <c r="FG5" s="10">
        <f t="shared" ref="FG5" si="71">FF5+1</f>
        <v>44009</v>
      </c>
      <c r="FH5" s="12">
        <f t="shared" ref="FH5" si="72">FG5+1</f>
        <v>44010</v>
      </c>
      <c r="FI5" s="11">
        <f>FH5+1</f>
        <v>44011</v>
      </c>
      <c r="FJ5" s="10">
        <f>FI5+1</f>
        <v>44012</v>
      </c>
      <c r="FK5" s="10">
        <f t="shared" ref="FK5" si="73">FJ5+1</f>
        <v>44013</v>
      </c>
      <c r="FL5" s="10">
        <f t="shared" ref="FL5" si="74">FK5+1</f>
        <v>44014</v>
      </c>
      <c r="FM5" s="10">
        <f t="shared" ref="FM5" si="75">FL5+1</f>
        <v>44015</v>
      </c>
      <c r="FN5" s="10">
        <f t="shared" ref="FN5" si="76">FM5+1</f>
        <v>44016</v>
      </c>
      <c r="FO5" s="12">
        <f t="shared" ref="FO5" si="77">FN5+1</f>
        <v>44017</v>
      </c>
      <c r="FP5" s="11">
        <f>FO5+1</f>
        <v>44018</v>
      </c>
      <c r="FQ5" s="10">
        <f>FP5+1</f>
        <v>44019</v>
      </c>
      <c r="FR5" s="10">
        <f t="shared" ref="FR5" si="78">FQ5+1</f>
        <v>44020</v>
      </c>
      <c r="FS5" s="10">
        <f t="shared" ref="FS5" si="79">FR5+1</f>
        <v>44021</v>
      </c>
      <c r="FT5" s="10">
        <f t="shared" ref="FT5" si="80">FS5+1</f>
        <v>44022</v>
      </c>
      <c r="FU5" s="10">
        <f t="shared" ref="FU5" si="81">FT5+1</f>
        <v>44023</v>
      </c>
      <c r="FV5" s="12">
        <f t="shared" ref="FV5" si="82">FU5+1</f>
        <v>44024</v>
      </c>
    </row>
    <row r="6" spans="1:178" ht="29.25" customHeight="1" thickBot="1">
      <c r="A6" s="13"/>
      <c r="B6" s="21" t="s">
        <v>5</v>
      </c>
      <c r="C6" s="21" t="s">
        <v>6</v>
      </c>
      <c r="D6" s="21" t="s">
        <v>7</v>
      </c>
      <c r="E6" s="21" t="s">
        <v>8</v>
      </c>
      <c r="F6" s="9" t="s">
        <v>9</v>
      </c>
      <c r="G6" s="9" t="s">
        <v>10</v>
      </c>
      <c r="H6" s="9" t="s">
        <v>11</v>
      </c>
      <c r="I6" s="9"/>
      <c r="J6" s="9" t="s">
        <v>12</v>
      </c>
      <c r="K6" s="29" t="str">
        <f t="shared" ref="K6" si="83">LEFT(TEXT(K5,"ddd"),1)</f>
        <v>M</v>
      </c>
      <c r="L6" s="29" t="str">
        <f t="shared" ref="L6:AT6" si="84">LEFT(TEXT(L5,"ddd"),1)</f>
        <v>T</v>
      </c>
      <c r="M6" s="29" t="str">
        <f t="shared" si="84"/>
        <v>W</v>
      </c>
      <c r="N6" s="29" t="str">
        <f t="shared" si="84"/>
        <v>T</v>
      </c>
      <c r="O6" s="29" t="str">
        <f t="shared" si="84"/>
        <v>F</v>
      </c>
      <c r="P6" s="29" t="str">
        <f t="shared" si="84"/>
        <v>S</v>
      </c>
      <c r="Q6" s="29" t="str">
        <f t="shared" si="84"/>
        <v>S</v>
      </c>
      <c r="R6" s="29" t="str">
        <f t="shared" si="84"/>
        <v>M</v>
      </c>
      <c r="S6" s="29" t="str">
        <f t="shared" si="84"/>
        <v>T</v>
      </c>
      <c r="T6" s="29" t="str">
        <f t="shared" si="84"/>
        <v>W</v>
      </c>
      <c r="U6" s="29" t="str">
        <f t="shared" si="84"/>
        <v>T</v>
      </c>
      <c r="V6" s="29" t="str">
        <f t="shared" si="84"/>
        <v>F</v>
      </c>
      <c r="W6" s="29" t="str">
        <f t="shared" si="84"/>
        <v>S</v>
      </c>
      <c r="X6" s="29" t="str">
        <f t="shared" si="84"/>
        <v>S</v>
      </c>
      <c r="Y6" s="29" t="str">
        <f t="shared" si="84"/>
        <v>M</v>
      </c>
      <c r="Z6" s="29" t="str">
        <f t="shared" si="84"/>
        <v>T</v>
      </c>
      <c r="AA6" s="29" t="str">
        <f t="shared" si="84"/>
        <v>W</v>
      </c>
      <c r="AB6" s="29" t="str">
        <f t="shared" si="84"/>
        <v>T</v>
      </c>
      <c r="AC6" s="29" t="str">
        <f t="shared" si="84"/>
        <v>F</v>
      </c>
      <c r="AD6" s="29" t="str">
        <f t="shared" si="84"/>
        <v>S</v>
      </c>
      <c r="AE6" s="29" t="str">
        <f t="shared" si="84"/>
        <v>S</v>
      </c>
      <c r="AF6" s="29" t="str">
        <f t="shared" si="84"/>
        <v>M</v>
      </c>
      <c r="AG6" s="29" t="str">
        <f t="shared" si="84"/>
        <v>T</v>
      </c>
      <c r="AH6" s="29" t="str">
        <f t="shared" si="84"/>
        <v>W</v>
      </c>
      <c r="AI6" s="29" t="str">
        <f t="shared" si="84"/>
        <v>T</v>
      </c>
      <c r="AJ6" s="29" t="str">
        <f t="shared" si="84"/>
        <v>F</v>
      </c>
      <c r="AK6" s="29" t="str">
        <f t="shared" si="84"/>
        <v>S</v>
      </c>
      <c r="AL6" s="29" t="str">
        <f t="shared" si="84"/>
        <v>S</v>
      </c>
      <c r="AM6" s="29" t="str">
        <f t="shared" si="84"/>
        <v>M</v>
      </c>
      <c r="AN6" s="29" t="str">
        <f t="shared" si="84"/>
        <v>T</v>
      </c>
      <c r="AO6" s="29" t="str">
        <f t="shared" si="84"/>
        <v>W</v>
      </c>
      <c r="AP6" s="29" t="str">
        <f t="shared" si="84"/>
        <v>T</v>
      </c>
      <c r="AQ6" s="29" t="str">
        <f t="shared" si="84"/>
        <v>F</v>
      </c>
      <c r="AR6" s="29" t="str">
        <f t="shared" si="84"/>
        <v>S</v>
      </c>
      <c r="AS6" s="29" t="str">
        <f t="shared" si="84"/>
        <v>S</v>
      </c>
      <c r="AT6" s="29" t="str">
        <f t="shared" si="84"/>
        <v>M</v>
      </c>
      <c r="AU6" s="29" t="str">
        <f t="shared" ref="AU6:BN6" si="85">LEFT(TEXT(AU5,"ddd"),1)</f>
        <v>T</v>
      </c>
      <c r="AV6" s="29" t="str">
        <f t="shared" si="85"/>
        <v>W</v>
      </c>
      <c r="AW6" s="29" t="str">
        <f t="shared" si="85"/>
        <v>T</v>
      </c>
      <c r="AX6" s="29" t="str">
        <f t="shared" si="85"/>
        <v>F</v>
      </c>
      <c r="AY6" s="29" t="str">
        <f t="shared" si="85"/>
        <v>S</v>
      </c>
      <c r="AZ6" s="29" t="str">
        <f t="shared" si="85"/>
        <v>S</v>
      </c>
      <c r="BA6" s="29" t="str">
        <f t="shared" si="85"/>
        <v>M</v>
      </c>
      <c r="BB6" s="29" t="str">
        <f t="shared" si="85"/>
        <v>T</v>
      </c>
      <c r="BC6" s="29" t="str">
        <f t="shared" si="85"/>
        <v>W</v>
      </c>
      <c r="BD6" s="29" t="str">
        <f t="shared" si="85"/>
        <v>T</v>
      </c>
      <c r="BE6" s="29" t="str">
        <f t="shared" si="85"/>
        <v>F</v>
      </c>
      <c r="BF6" s="29" t="str">
        <f t="shared" si="85"/>
        <v>S</v>
      </c>
      <c r="BG6" s="29" t="str">
        <f t="shared" si="85"/>
        <v>S</v>
      </c>
      <c r="BH6" s="29" t="str">
        <f t="shared" si="85"/>
        <v>M</v>
      </c>
      <c r="BI6" s="29" t="str">
        <f t="shared" si="85"/>
        <v>T</v>
      </c>
      <c r="BJ6" s="29" t="str">
        <f t="shared" si="85"/>
        <v>W</v>
      </c>
      <c r="BK6" s="29" t="str">
        <f t="shared" si="85"/>
        <v>T</v>
      </c>
      <c r="BL6" s="29" t="str">
        <f t="shared" si="85"/>
        <v>F</v>
      </c>
      <c r="BM6" s="29" t="str">
        <f t="shared" si="85"/>
        <v>S</v>
      </c>
      <c r="BN6" s="29" t="str">
        <f t="shared" si="85"/>
        <v>S</v>
      </c>
      <c r="BO6" s="29" t="str">
        <f t="shared" ref="BO6:CW6" si="86">LEFT(TEXT(BO5,"ddd"),1)</f>
        <v>M</v>
      </c>
      <c r="BP6" s="29" t="str">
        <f t="shared" si="86"/>
        <v>T</v>
      </c>
      <c r="BQ6" s="29" t="str">
        <f t="shared" si="86"/>
        <v>W</v>
      </c>
      <c r="BR6" s="29" t="str">
        <f t="shared" si="86"/>
        <v>T</v>
      </c>
      <c r="BS6" s="29" t="str">
        <f t="shared" si="86"/>
        <v>F</v>
      </c>
      <c r="BT6" s="29" t="str">
        <f t="shared" si="86"/>
        <v>S</v>
      </c>
      <c r="BU6" s="29" t="str">
        <f t="shared" si="86"/>
        <v>S</v>
      </c>
      <c r="BV6" s="29" t="str">
        <f t="shared" si="86"/>
        <v>M</v>
      </c>
      <c r="BW6" s="29" t="str">
        <f t="shared" si="86"/>
        <v>T</v>
      </c>
      <c r="BX6" s="29" t="str">
        <f t="shared" si="86"/>
        <v>W</v>
      </c>
      <c r="BY6" s="29" t="str">
        <f t="shared" si="86"/>
        <v>T</v>
      </c>
      <c r="BZ6" s="29" t="str">
        <f t="shared" si="86"/>
        <v>F</v>
      </c>
      <c r="CA6" s="29" t="str">
        <f t="shared" si="86"/>
        <v>S</v>
      </c>
      <c r="CB6" s="29" t="str">
        <f t="shared" si="86"/>
        <v>S</v>
      </c>
      <c r="CC6" s="29" t="str">
        <f t="shared" si="86"/>
        <v>M</v>
      </c>
      <c r="CD6" s="29" t="str">
        <f t="shared" si="86"/>
        <v>T</v>
      </c>
      <c r="CE6" s="29" t="str">
        <f t="shared" si="86"/>
        <v>W</v>
      </c>
      <c r="CF6" s="29" t="str">
        <f t="shared" si="86"/>
        <v>T</v>
      </c>
      <c r="CG6" s="29" t="str">
        <f t="shared" si="86"/>
        <v>F</v>
      </c>
      <c r="CH6" s="29" t="str">
        <f t="shared" si="86"/>
        <v>S</v>
      </c>
      <c r="CI6" s="29" t="str">
        <f t="shared" si="86"/>
        <v>S</v>
      </c>
      <c r="CJ6" s="29" t="str">
        <f t="shared" si="86"/>
        <v>M</v>
      </c>
      <c r="CK6" s="29" t="str">
        <f t="shared" si="86"/>
        <v>T</v>
      </c>
      <c r="CL6" s="29" t="str">
        <f t="shared" si="86"/>
        <v>W</v>
      </c>
      <c r="CM6" s="29" t="str">
        <f t="shared" si="86"/>
        <v>T</v>
      </c>
      <c r="CN6" s="29" t="str">
        <f t="shared" si="86"/>
        <v>F</v>
      </c>
      <c r="CO6" s="29" t="str">
        <f t="shared" si="86"/>
        <v>S</v>
      </c>
      <c r="CP6" s="29" t="str">
        <f t="shared" si="86"/>
        <v>S</v>
      </c>
      <c r="CQ6" s="29" t="str">
        <f t="shared" si="86"/>
        <v>M</v>
      </c>
      <c r="CR6" s="29" t="str">
        <f t="shared" si="86"/>
        <v>T</v>
      </c>
      <c r="CS6" s="29" t="str">
        <f t="shared" si="86"/>
        <v>W</v>
      </c>
      <c r="CT6" s="29" t="str">
        <f t="shared" si="86"/>
        <v>T</v>
      </c>
      <c r="CU6" s="29" t="str">
        <f t="shared" si="86"/>
        <v>F</v>
      </c>
      <c r="CV6" s="29" t="str">
        <f t="shared" si="86"/>
        <v>S</v>
      </c>
      <c r="CW6" s="29" t="str">
        <f t="shared" si="86"/>
        <v>S</v>
      </c>
      <c r="CX6" s="29" t="str">
        <f t="shared" ref="CX6:FI6" si="87">LEFT(TEXT(CX5,"ddd"),1)</f>
        <v>M</v>
      </c>
      <c r="CY6" s="29" t="str">
        <f t="shared" si="87"/>
        <v>T</v>
      </c>
      <c r="CZ6" s="29" t="str">
        <f t="shared" si="87"/>
        <v>W</v>
      </c>
      <c r="DA6" s="29" t="str">
        <f t="shared" si="87"/>
        <v>T</v>
      </c>
      <c r="DB6" s="29" t="str">
        <f t="shared" si="87"/>
        <v>F</v>
      </c>
      <c r="DC6" s="29" t="str">
        <f t="shared" si="87"/>
        <v>S</v>
      </c>
      <c r="DD6" s="29" t="str">
        <f t="shared" si="87"/>
        <v>S</v>
      </c>
      <c r="DE6" s="29" t="str">
        <f t="shared" si="87"/>
        <v>M</v>
      </c>
      <c r="DF6" s="29" t="str">
        <f t="shared" si="87"/>
        <v>T</v>
      </c>
      <c r="DG6" s="29" t="str">
        <f t="shared" si="87"/>
        <v>W</v>
      </c>
      <c r="DH6" s="29" t="str">
        <f t="shared" si="87"/>
        <v>T</v>
      </c>
      <c r="DI6" s="29" t="str">
        <f t="shared" si="87"/>
        <v>F</v>
      </c>
      <c r="DJ6" s="29" t="str">
        <f t="shared" si="87"/>
        <v>S</v>
      </c>
      <c r="DK6" s="29" t="str">
        <f t="shared" si="87"/>
        <v>S</v>
      </c>
      <c r="DL6" s="29" t="str">
        <f t="shared" si="87"/>
        <v>M</v>
      </c>
      <c r="DM6" s="29" t="str">
        <f t="shared" si="87"/>
        <v>T</v>
      </c>
      <c r="DN6" s="29" t="str">
        <f t="shared" si="87"/>
        <v>W</v>
      </c>
      <c r="DO6" s="29" t="str">
        <f t="shared" si="87"/>
        <v>T</v>
      </c>
      <c r="DP6" s="29" t="str">
        <f t="shared" si="87"/>
        <v>F</v>
      </c>
      <c r="DQ6" s="29" t="str">
        <f t="shared" si="87"/>
        <v>S</v>
      </c>
      <c r="DR6" s="29" t="str">
        <f t="shared" si="87"/>
        <v>S</v>
      </c>
      <c r="DS6" s="29" t="str">
        <f t="shared" si="87"/>
        <v>M</v>
      </c>
      <c r="DT6" s="29" t="str">
        <f t="shared" si="87"/>
        <v>T</v>
      </c>
      <c r="DU6" s="29" t="str">
        <f t="shared" si="87"/>
        <v>W</v>
      </c>
      <c r="DV6" s="29" t="str">
        <f t="shared" si="87"/>
        <v>T</v>
      </c>
      <c r="DW6" s="29" t="str">
        <f t="shared" si="87"/>
        <v>F</v>
      </c>
      <c r="DX6" s="29" t="str">
        <f t="shared" si="87"/>
        <v>S</v>
      </c>
      <c r="DY6" s="29" t="str">
        <f t="shared" si="87"/>
        <v>S</v>
      </c>
      <c r="DZ6" s="29" t="str">
        <f t="shared" si="87"/>
        <v>M</v>
      </c>
      <c r="EA6" s="29" t="str">
        <f t="shared" si="87"/>
        <v>T</v>
      </c>
      <c r="EB6" s="29" t="str">
        <f t="shared" si="87"/>
        <v>W</v>
      </c>
      <c r="EC6" s="29" t="str">
        <f t="shared" si="87"/>
        <v>T</v>
      </c>
      <c r="ED6" s="29" t="str">
        <f t="shared" si="87"/>
        <v>F</v>
      </c>
      <c r="EE6" s="29" t="str">
        <f t="shared" si="87"/>
        <v>S</v>
      </c>
      <c r="EF6" s="29" t="str">
        <f t="shared" si="87"/>
        <v>S</v>
      </c>
      <c r="EG6" s="29" t="str">
        <f t="shared" si="87"/>
        <v>M</v>
      </c>
      <c r="EH6" s="29" t="str">
        <f t="shared" si="87"/>
        <v>T</v>
      </c>
      <c r="EI6" s="29" t="str">
        <f t="shared" si="87"/>
        <v>W</v>
      </c>
      <c r="EJ6" s="29" t="str">
        <f t="shared" si="87"/>
        <v>T</v>
      </c>
      <c r="EK6" s="29" t="str">
        <f t="shared" si="87"/>
        <v>F</v>
      </c>
      <c r="EL6" s="29" t="str">
        <f t="shared" si="87"/>
        <v>S</v>
      </c>
      <c r="EM6" s="29" t="str">
        <f t="shared" si="87"/>
        <v>S</v>
      </c>
      <c r="EN6" s="29" t="str">
        <f t="shared" si="87"/>
        <v>M</v>
      </c>
      <c r="EO6" s="29" t="str">
        <f t="shared" si="87"/>
        <v>T</v>
      </c>
      <c r="EP6" s="29" t="str">
        <f t="shared" si="87"/>
        <v>W</v>
      </c>
      <c r="EQ6" s="29" t="str">
        <f t="shared" si="87"/>
        <v>T</v>
      </c>
      <c r="ER6" s="29" t="str">
        <f t="shared" si="87"/>
        <v>F</v>
      </c>
      <c r="ES6" s="29" t="str">
        <f t="shared" si="87"/>
        <v>S</v>
      </c>
      <c r="ET6" s="29" t="str">
        <f t="shared" si="87"/>
        <v>S</v>
      </c>
      <c r="EU6" s="29" t="str">
        <f t="shared" si="87"/>
        <v>M</v>
      </c>
      <c r="EV6" s="29" t="str">
        <f t="shared" si="87"/>
        <v>T</v>
      </c>
      <c r="EW6" s="29" t="str">
        <f t="shared" si="87"/>
        <v>W</v>
      </c>
      <c r="EX6" s="29" t="str">
        <f t="shared" si="87"/>
        <v>T</v>
      </c>
      <c r="EY6" s="29" t="str">
        <f t="shared" si="87"/>
        <v>F</v>
      </c>
      <c r="EZ6" s="29" t="str">
        <f t="shared" si="87"/>
        <v>S</v>
      </c>
      <c r="FA6" s="29" t="str">
        <f t="shared" si="87"/>
        <v>S</v>
      </c>
      <c r="FB6" s="29" t="str">
        <f t="shared" si="87"/>
        <v>M</v>
      </c>
      <c r="FC6" s="29" t="str">
        <f t="shared" si="87"/>
        <v>T</v>
      </c>
      <c r="FD6" s="29" t="str">
        <f t="shared" si="87"/>
        <v>W</v>
      </c>
      <c r="FE6" s="29" t="str">
        <f t="shared" si="87"/>
        <v>T</v>
      </c>
      <c r="FF6" s="29" t="str">
        <f t="shared" si="87"/>
        <v>F</v>
      </c>
      <c r="FG6" s="29" t="str">
        <f t="shared" si="87"/>
        <v>S</v>
      </c>
      <c r="FH6" s="29" t="str">
        <f t="shared" si="87"/>
        <v>S</v>
      </c>
      <c r="FI6" s="29" t="str">
        <f t="shared" si="87"/>
        <v>M</v>
      </c>
      <c r="FJ6" s="29" t="str">
        <f t="shared" ref="FJ6:FV6" si="88">LEFT(TEXT(FJ5,"ddd"),1)</f>
        <v>T</v>
      </c>
      <c r="FK6" s="29" t="str">
        <f t="shared" si="88"/>
        <v>W</v>
      </c>
      <c r="FL6" s="29" t="str">
        <f t="shared" si="88"/>
        <v>T</v>
      </c>
      <c r="FM6" s="29" t="str">
        <f t="shared" si="88"/>
        <v>F</v>
      </c>
      <c r="FN6" s="29" t="str">
        <f t="shared" si="88"/>
        <v>S</v>
      </c>
      <c r="FO6" s="29" t="str">
        <f t="shared" si="88"/>
        <v>S</v>
      </c>
      <c r="FP6" s="29" t="str">
        <f t="shared" si="88"/>
        <v>M</v>
      </c>
      <c r="FQ6" s="29" t="str">
        <f t="shared" si="88"/>
        <v>T</v>
      </c>
      <c r="FR6" s="29" t="str">
        <f t="shared" si="88"/>
        <v>W</v>
      </c>
      <c r="FS6" s="29" t="str">
        <f t="shared" si="88"/>
        <v>T</v>
      </c>
      <c r="FT6" s="29" t="str">
        <f t="shared" si="88"/>
        <v>F</v>
      </c>
      <c r="FU6" s="29" t="str">
        <f t="shared" si="88"/>
        <v>S</v>
      </c>
      <c r="FV6" s="29" t="str">
        <f t="shared" si="88"/>
        <v>S</v>
      </c>
    </row>
    <row r="7" spans="1:178" s="2" customFormat="1" ht="13.5" customHeight="1" thickBot="1">
      <c r="A7" s="13"/>
      <c r="B7" s="14"/>
      <c r="C7" s="14"/>
      <c r="D7" s="14"/>
      <c r="E7" s="14"/>
      <c r="F7" s="15"/>
      <c r="G7" s="16"/>
      <c r="H7" s="17"/>
      <c r="I7" s="18"/>
      <c r="J7" s="18" t="str">
        <f t="shared" ref="J7:J80" ca="1" si="89">IF(OR(ISBLANK(task_start),ISBLANK(task_end)),"",task_end-task_start+1)</f>
        <v/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</row>
    <row r="8" spans="1:178" s="2" customFormat="1" ht="14.25" customHeight="1" thickBot="1">
      <c r="A8" s="13"/>
      <c r="B8" s="41">
        <v>1</v>
      </c>
      <c r="C8" s="22" t="s">
        <v>13</v>
      </c>
      <c r="D8" s="22"/>
      <c r="E8" s="22"/>
      <c r="F8" s="23">
        <v>0.7</v>
      </c>
      <c r="G8" s="24">
        <v>43871</v>
      </c>
      <c r="H8" s="25">
        <v>43889</v>
      </c>
      <c r="I8" s="30"/>
      <c r="J8" s="18">
        <f t="shared" ca="1" si="89"/>
        <v>19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</row>
    <row r="9" spans="1:178" s="2" customFormat="1" ht="11.25" customHeight="1" outlineLevel="1" thickBot="1">
      <c r="A9" s="13"/>
      <c r="B9" s="40">
        <f>B8+0.1</f>
        <v>1.1000000000000001</v>
      </c>
      <c r="C9" s="31" t="s">
        <v>14</v>
      </c>
      <c r="D9" s="31"/>
      <c r="E9" s="31"/>
      <c r="F9" s="32">
        <v>0</v>
      </c>
      <c r="G9" s="33">
        <v>43951</v>
      </c>
      <c r="H9" s="34">
        <v>43956</v>
      </c>
      <c r="I9" s="35"/>
      <c r="J9" s="18">
        <f t="shared" ca="1" si="89"/>
        <v>6</v>
      </c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</row>
    <row r="10" spans="1:178" s="2" customFormat="1" ht="11.25" customHeight="1" outlineLevel="1" thickBot="1">
      <c r="A10" s="13"/>
      <c r="B10" s="40">
        <f t="shared" ref="B10:B15" si="90">B9+0.1</f>
        <v>1.2000000000000002</v>
      </c>
      <c r="C10" s="31"/>
      <c r="D10" s="31"/>
      <c r="E10" s="31"/>
      <c r="F10" s="32">
        <v>0.5</v>
      </c>
      <c r="G10" s="33">
        <v>43886</v>
      </c>
      <c r="H10" s="33">
        <v>43866</v>
      </c>
      <c r="I10" s="35"/>
      <c r="J10" s="18">
        <f t="shared" ca="1" si="89"/>
        <v>-19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</row>
    <row r="11" spans="1:178" s="2" customFormat="1" ht="11.25" customHeight="1" outlineLevel="1" thickBot="1">
      <c r="A11" s="13"/>
      <c r="B11" s="40">
        <f t="shared" si="90"/>
        <v>1.3000000000000003</v>
      </c>
      <c r="C11" s="31"/>
      <c r="D11" s="31"/>
      <c r="E11" s="31"/>
      <c r="F11" s="32">
        <v>0</v>
      </c>
      <c r="G11" s="33">
        <v>43874</v>
      </c>
      <c r="H11" s="34">
        <v>43881</v>
      </c>
      <c r="I11" s="35"/>
      <c r="J11" s="18">
        <f t="shared" ca="1" si="89"/>
        <v>8</v>
      </c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</row>
    <row r="12" spans="1:178" s="2" customFormat="1" ht="11.25" customHeight="1" outlineLevel="1" thickBot="1">
      <c r="A12" s="13"/>
      <c r="B12" s="40">
        <f t="shared" si="90"/>
        <v>1.4000000000000004</v>
      </c>
      <c r="C12" s="31"/>
      <c r="D12" s="31"/>
      <c r="E12" s="31"/>
      <c r="F12" s="32">
        <v>0</v>
      </c>
      <c r="G12" s="33">
        <v>43883</v>
      </c>
      <c r="H12" s="34">
        <v>43884</v>
      </c>
      <c r="I12" s="35"/>
      <c r="J12" s="1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</row>
    <row r="13" spans="1:178" s="2" customFormat="1" ht="11.25" customHeight="1" outlineLevel="1" thickBot="1">
      <c r="A13" s="13"/>
      <c r="B13" s="40">
        <f t="shared" si="90"/>
        <v>1.5000000000000004</v>
      </c>
      <c r="C13" s="31" t="s">
        <v>15</v>
      </c>
      <c r="D13" s="31"/>
      <c r="E13" s="31"/>
      <c r="F13" s="32">
        <v>0</v>
      </c>
      <c r="G13" s="33">
        <v>44588</v>
      </c>
      <c r="H13" s="34">
        <v>43887</v>
      </c>
      <c r="I13" s="35"/>
      <c r="J13" s="18">
        <f t="shared" ca="1" si="89"/>
        <v>-700</v>
      </c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</row>
    <row r="14" spans="1:178" s="2" customFormat="1" ht="11.25" customHeight="1" outlineLevel="1" thickBot="1">
      <c r="A14" s="13"/>
      <c r="B14" s="40">
        <f t="shared" si="90"/>
        <v>1.6000000000000005</v>
      </c>
      <c r="C14" s="31"/>
      <c r="D14" s="31"/>
      <c r="E14" s="31"/>
      <c r="F14" s="32">
        <v>0</v>
      </c>
      <c r="G14" s="33">
        <v>43885</v>
      </c>
      <c r="H14" s="34">
        <v>43887</v>
      </c>
      <c r="I14" s="35"/>
      <c r="J14" s="1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</row>
    <row r="15" spans="1:178" s="2" customFormat="1" ht="11.25" customHeight="1" outlineLevel="1" thickBot="1">
      <c r="A15" s="13"/>
      <c r="B15" s="40">
        <f t="shared" si="90"/>
        <v>1.7000000000000006</v>
      </c>
      <c r="C15" s="31"/>
      <c r="D15" s="31"/>
      <c r="E15" s="31"/>
      <c r="F15" s="32">
        <v>0</v>
      </c>
      <c r="G15" s="33">
        <v>43889</v>
      </c>
      <c r="H15" s="33">
        <v>43889</v>
      </c>
      <c r="I15" s="35"/>
      <c r="J15" s="18">
        <f t="shared" ca="1" si="89"/>
        <v>1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</row>
    <row r="16" spans="1:178" s="2" customFormat="1" ht="14.25" customHeight="1" thickBot="1">
      <c r="A16" s="13"/>
      <c r="B16" s="42">
        <v>2</v>
      </c>
      <c r="C16" s="36" t="s">
        <v>16</v>
      </c>
      <c r="D16" s="36"/>
      <c r="E16" s="36"/>
      <c r="F16" s="37">
        <v>0.01</v>
      </c>
      <c r="G16" s="38">
        <v>43874</v>
      </c>
      <c r="H16" s="39">
        <v>43889</v>
      </c>
      <c r="I16" s="35"/>
      <c r="J16" s="18">
        <f t="shared" ca="1" si="89"/>
        <v>16</v>
      </c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</row>
    <row r="17" spans="1:178" s="2" customFormat="1" ht="11.25" customHeight="1" outlineLevel="1" thickBot="1">
      <c r="A17" s="13"/>
      <c r="B17" s="40">
        <f t="shared" ref="B17:B19" si="91">B16+0.1</f>
        <v>2.1</v>
      </c>
      <c r="C17" s="31"/>
      <c r="D17" s="31"/>
      <c r="E17" s="31"/>
      <c r="F17" s="32">
        <v>0</v>
      </c>
      <c r="G17" s="33">
        <v>43874</v>
      </c>
      <c r="H17" s="34">
        <v>43881</v>
      </c>
      <c r="I17" s="35"/>
      <c r="J17" s="18">
        <f t="shared" ca="1" si="89"/>
        <v>8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</row>
    <row r="18" spans="1:178" s="2" customFormat="1" ht="11.25" customHeight="1" outlineLevel="1" thickBot="1">
      <c r="A18" s="13"/>
      <c r="B18" s="40">
        <f t="shared" si="91"/>
        <v>2.2000000000000002</v>
      </c>
      <c r="C18" s="31"/>
      <c r="D18" s="31"/>
      <c r="E18" s="31"/>
      <c r="F18" s="32">
        <v>0</v>
      </c>
      <c r="G18" s="33">
        <v>43883</v>
      </c>
      <c r="H18" s="34">
        <v>43884</v>
      </c>
      <c r="I18" s="35"/>
      <c r="J18" s="18">
        <f t="shared" ca="1" si="89"/>
        <v>2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</row>
    <row r="19" spans="1:178" s="2" customFormat="1" ht="11.25" customHeight="1" outlineLevel="1" thickBot="1">
      <c r="A19" s="13"/>
      <c r="B19" s="40">
        <f t="shared" si="91"/>
        <v>2.3000000000000003</v>
      </c>
      <c r="C19" s="31"/>
      <c r="D19" s="31"/>
      <c r="E19" s="31"/>
      <c r="F19" s="32">
        <v>0</v>
      </c>
      <c r="G19" s="33">
        <v>43889</v>
      </c>
      <c r="H19" s="33">
        <v>43889</v>
      </c>
      <c r="I19" s="35"/>
      <c r="J19" s="18">
        <f t="shared" ca="1" si="89"/>
        <v>1</v>
      </c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</row>
    <row r="20" spans="1:178" s="2" customFormat="1" ht="14.25" customHeight="1" thickBot="1">
      <c r="A20" s="13"/>
      <c r="B20" s="42">
        <v>3</v>
      </c>
      <c r="C20" s="36" t="s">
        <v>17</v>
      </c>
      <c r="D20" s="36"/>
      <c r="E20" s="36"/>
      <c r="F20" s="37">
        <v>0.01</v>
      </c>
      <c r="G20" s="38">
        <v>43864</v>
      </c>
      <c r="H20" s="39">
        <v>43921</v>
      </c>
      <c r="I20" s="35"/>
      <c r="J20" s="18">
        <f t="shared" ca="1" si="89"/>
        <v>58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</row>
    <row r="21" spans="1:178" s="2" customFormat="1" ht="11.25" customHeight="1" outlineLevel="1" thickBot="1">
      <c r="A21" s="13"/>
      <c r="B21" s="40">
        <f t="shared" ref="B21:B24" si="92">B20+0.1</f>
        <v>3.1</v>
      </c>
      <c r="C21" s="31" t="s">
        <v>18</v>
      </c>
      <c r="D21" s="31"/>
      <c r="E21" s="31"/>
      <c r="F21" s="32">
        <v>0</v>
      </c>
      <c r="G21" s="33">
        <v>43864</v>
      </c>
      <c r="H21" s="33">
        <v>43864</v>
      </c>
      <c r="I21" s="35"/>
      <c r="J21" s="18">
        <f t="shared" ca="1" si="89"/>
        <v>1</v>
      </c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  <c r="FS21" s="28"/>
      <c r="FT21" s="28"/>
      <c r="FU21" s="28"/>
      <c r="FV21" s="28"/>
    </row>
    <row r="22" spans="1:178" s="2" customFormat="1" ht="11.25" customHeight="1" outlineLevel="1" thickBot="1">
      <c r="A22" s="13"/>
      <c r="B22" s="40">
        <f t="shared" si="92"/>
        <v>3.2</v>
      </c>
      <c r="C22" s="31"/>
      <c r="D22" s="31"/>
      <c r="E22" s="31"/>
      <c r="F22" s="32">
        <v>0</v>
      </c>
      <c r="G22" s="33">
        <v>43885</v>
      </c>
      <c r="H22" s="33">
        <v>43914</v>
      </c>
      <c r="I22" s="35"/>
      <c r="J22" s="1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  <c r="FS22" s="28"/>
      <c r="FT22" s="28"/>
      <c r="FU22" s="28"/>
      <c r="FV22" s="28"/>
    </row>
    <row r="23" spans="1:178" s="2" customFormat="1" ht="11.25" customHeight="1" outlineLevel="1" thickBot="1">
      <c r="A23" s="13"/>
      <c r="B23" s="40">
        <f t="shared" si="92"/>
        <v>3.3000000000000003</v>
      </c>
      <c r="C23" s="31"/>
      <c r="D23" s="31"/>
      <c r="E23" s="31"/>
      <c r="F23" s="32">
        <v>0</v>
      </c>
      <c r="G23" s="33">
        <v>43915</v>
      </c>
      <c r="H23" s="34">
        <v>43915</v>
      </c>
      <c r="I23" s="35"/>
      <c r="J23" s="18">
        <f t="shared" ca="1" si="89"/>
        <v>1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</row>
    <row r="24" spans="1:178" s="2" customFormat="1" ht="11.25" customHeight="1" outlineLevel="1" thickBot="1">
      <c r="A24" s="13"/>
      <c r="B24" s="40">
        <f t="shared" si="92"/>
        <v>3.4000000000000004</v>
      </c>
      <c r="C24" s="31"/>
      <c r="D24" s="31"/>
      <c r="E24" s="31"/>
      <c r="F24" s="32">
        <v>0</v>
      </c>
      <c r="G24" s="33">
        <v>43915</v>
      </c>
      <c r="H24" s="34">
        <v>43921</v>
      </c>
      <c r="I24" s="35"/>
      <c r="J24" s="18">
        <f t="shared" ca="1" si="89"/>
        <v>7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  <c r="FS24" s="28"/>
      <c r="FT24" s="28"/>
      <c r="FU24" s="28"/>
      <c r="FV24" s="28"/>
    </row>
    <row r="25" spans="1:178" s="2" customFormat="1" ht="14.25" customHeight="1" thickBot="1">
      <c r="A25" s="13"/>
      <c r="B25" s="42">
        <v>4</v>
      </c>
      <c r="C25" s="36" t="s">
        <v>19</v>
      </c>
      <c r="D25" s="36"/>
      <c r="E25" s="36"/>
      <c r="F25" s="37">
        <v>0.01</v>
      </c>
      <c r="G25" s="38">
        <v>43864</v>
      </c>
      <c r="H25" s="39"/>
      <c r="I25" s="35"/>
      <c r="J25" s="18" t="str">
        <f t="shared" ca="1" si="89"/>
        <v/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8"/>
      <c r="FT25" s="28"/>
      <c r="FU25" s="28"/>
      <c r="FV25" s="28"/>
    </row>
    <row r="26" spans="1:178" s="2" customFormat="1" ht="11.25" customHeight="1" outlineLevel="1" thickBot="1">
      <c r="A26" s="13"/>
      <c r="B26" s="40">
        <f t="shared" ref="B26:B30" si="93">B25+0.1</f>
        <v>4.0999999999999996</v>
      </c>
      <c r="C26" s="31" t="s">
        <v>20</v>
      </c>
      <c r="D26" s="31"/>
      <c r="E26" s="31"/>
      <c r="F26" s="32">
        <v>0</v>
      </c>
      <c r="G26" s="33">
        <v>43864</v>
      </c>
      <c r="H26" s="34"/>
      <c r="I26" s="35"/>
      <c r="J26" s="18" t="str">
        <f t="shared" ca="1" si="89"/>
        <v/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</row>
    <row r="27" spans="1:178" s="2" customFormat="1" ht="11.25" customHeight="1" outlineLevel="1" thickBot="1">
      <c r="A27" s="13"/>
      <c r="B27" s="40">
        <f t="shared" si="93"/>
        <v>4.1999999999999993</v>
      </c>
      <c r="C27" s="31"/>
      <c r="D27" s="31"/>
      <c r="E27" s="31"/>
      <c r="F27" s="32">
        <v>0</v>
      </c>
      <c r="G27" s="33">
        <v>43864</v>
      </c>
      <c r="H27" s="34"/>
      <c r="I27" s="35"/>
      <c r="J27" s="18" t="str">
        <f t="shared" ca="1" si="89"/>
        <v/>
      </c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28"/>
      <c r="FQ27" s="28"/>
      <c r="FR27" s="28"/>
      <c r="FS27" s="28"/>
      <c r="FT27" s="28"/>
      <c r="FU27" s="28"/>
      <c r="FV27" s="28"/>
    </row>
    <row r="28" spans="1:178" s="2" customFormat="1" ht="11.25" customHeight="1" outlineLevel="1" thickBot="1">
      <c r="A28" s="13"/>
      <c r="B28" s="40">
        <f t="shared" si="93"/>
        <v>4.2999999999999989</v>
      </c>
      <c r="C28" s="31"/>
      <c r="D28" s="31"/>
      <c r="E28" s="31"/>
      <c r="F28" s="32">
        <v>0</v>
      </c>
      <c r="G28" s="33">
        <v>43864</v>
      </c>
      <c r="H28" s="34"/>
      <c r="I28" s="35"/>
      <c r="J28" s="18" t="str">
        <f t="shared" ca="1" si="89"/>
        <v/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8"/>
      <c r="FO28" s="28"/>
      <c r="FP28" s="28"/>
      <c r="FQ28" s="28"/>
      <c r="FR28" s="28"/>
      <c r="FS28" s="28"/>
      <c r="FT28" s="28"/>
      <c r="FU28" s="28"/>
      <c r="FV28" s="28"/>
    </row>
    <row r="29" spans="1:178" s="2" customFormat="1" ht="11.25" customHeight="1" outlineLevel="1" thickBot="1">
      <c r="A29" s="13"/>
      <c r="B29" s="40">
        <f t="shared" si="93"/>
        <v>4.3999999999999986</v>
      </c>
      <c r="C29" s="31"/>
      <c r="D29" s="31"/>
      <c r="E29" s="31"/>
      <c r="F29" s="32">
        <v>0</v>
      </c>
      <c r="G29" s="33">
        <v>43864</v>
      </c>
      <c r="H29" s="34"/>
      <c r="I29" s="35"/>
      <c r="J29" s="18" t="str">
        <f t="shared" ca="1" si="89"/>
        <v/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  <c r="FS29" s="28"/>
      <c r="FT29" s="28"/>
      <c r="FU29" s="28"/>
      <c r="FV29" s="28"/>
    </row>
    <row r="30" spans="1:178" s="2" customFormat="1" ht="11.25" customHeight="1" outlineLevel="1" thickBot="1">
      <c r="A30" s="13"/>
      <c r="B30" s="40">
        <f t="shared" si="93"/>
        <v>4.4999999999999982</v>
      </c>
      <c r="C30" s="31"/>
      <c r="D30" s="31"/>
      <c r="E30" s="31"/>
      <c r="F30" s="32">
        <v>0</v>
      </c>
      <c r="G30" s="33">
        <v>43864</v>
      </c>
      <c r="H30" s="34"/>
      <c r="I30" s="35"/>
      <c r="J30" s="18" t="str">
        <f t="shared" ca="1" si="89"/>
        <v/>
      </c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  <c r="FS30" s="28"/>
      <c r="FT30" s="28"/>
      <c r="FU30" s="28"/>
      <c r="FV30" s="28"/>
    </row>
    <row r="31" spans="1:178" s="2" customFormat="1" ht="14.25" customHeight="1" thickBot="1">
      <c r="A31" s="13"/>
      <c r="B31" s="42">
        <v>5</v>
      </c>
      <c r="C31" s="36" t="s">
        <v>21</v>
      </c>
      <c r="D31" s="36"/>
      <c r="E31" s="36"/>
      <c r="F31" s="37">
        <v>0.01</v>
      </c>
      <c r="G31" s="38">
        <v>43878</v>
      </c>
      <c r="H31" s="39">
        <v>43946</v>
      </c>
      <c r="I31" s="35"/>
      <c r="J31" s="18">
        <f t="shared" ca="1" si="89"/>
        <v>69</v>
      </c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  <c r="FS31" s="28"/>
      <c r="FT31" s="28"/>
      <c r="FU31" s="28"/>
      <c r="FV31" s="28"/>
    </row>
    <row r="32" spans="1:178" s="2" customFormat="1" ht="11.25" customHeight="1" outlineLevel="1" thickBot="1">
      <c r="A32" s="13"/>
      <c r="B32" s="40">
        <f t="shared" ref="B32:B39" si="94">B31+0.1</f>
        <v>5.0999999999999996</v>
      </c>
      <c r="C32" s="31"/>
      <c r="D32" s="31"/>
      <c r="E32" s="31"/>
      <c r="F32" s="32">
        <v>0</v>
      </c>
      <c r="G32" s="33">
        <v>43878</v>
      </c>
      <c r="H32" s="34">
        <v>43885</v>
      </c>
      <c r="I32" s="35"/>
      <c r="J32" s="18">
        <f t="shared" ca="1" si="89"/>
        <v>8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</row>
    <row r="33" spans="1:178" s="2" customFormat="1" ht="11.25" customHeight="1" outlineLevel="1" thickBot="1">
      <c r="A33" s="13"/>
      <c r="B33" s="40">
        <f t="shared" si="94"/>
        <v>5.1999999999999993</v>
      </c>
      <c r="C33" s="31"/>
      <c r="D33" s="31"/>
      <c r="E33" s="31"/>
      <c r="F33" s="32">
        <v>0</v>
      </c>
      <c r="G33" s="34">
        <v>43886</v>
      </c>
      <c r="H33" s="34">
        <v>43886</v>
      </c>
      <c r="I33" s="35"/>
      <c r="J33" s="18">
        <f t="shared" ca="1" si="89"/>
        <v>1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</row>
    <row r="34" spans="1:178" s="2" customFormat="1" ht="11.25" customHeight="1" outlineLevel="1" thickBot="1">
      <c r="A34" s="13"/>
      <c r="B34" s="40">
        <f t="shared" si="94"/>
        <v>5.2999999999999989</v>
      </c>
      <c r="C34" s="31"/>
      <c r="D34" s="31"/>
      <c r="E34" s="31"/>
      <c r="F34" s="32">
        <v>0</v>
      </c>
      <c r="G34" s="34">
        <v>43886</v>
      </c>
      <c r="H34" s="34">
        <v>43886</v>
      </c>
      <c r="I34" s="35"/>
      <c r="J34" s="18">
        <f t="shared" ca="1" si="89"/>
        <v>1</v>
      </c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  <c r="FS34" s="28"/>
      <c r="FT34" s="28"/>
      <c r="FU34" s="28"/>
      <c r="FV34" s="28"/>
    </row>
    <row r="35" spans="1:178" s="2" customFormat="1" ht="11.25" customHeight="1" outlineLevel="1" thickBot="1">
      <c r="A35" s="13"/>
      <c r="B35" s="40">
        <f t="shared" si="94"/>
        <v>5.3999999999999986</v>
      </c>
      <c r="C35" s="31"/>
      <c r="D35" s="31"/>
      <c r="E35" s="31"/>
      <c r="F35" s="32">
        <v>0</v>
      </c>
      <c r="G35" s="34">
        <v>43886</v>
      </c>
      <c r="H35" s="34">
        <v>43915</v>
      </c>
      <c r="I35" s="35"/>
      <c r="J35" s="1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8"/>
      <c r="FU35" s="28"/>
      <c r="FV35" s="28"/>
    </row>
    <row r="36" spans="1:178" s="2" customFormat="1" ht="11.25" customHeight="1" outlineLevel="1" thickBot="1">
      <c r="A36" s="13"/>
      <c r="B36" s="40">
        <f t="shared" si="94"/>
        <v>5.4999999999999982</v>
      </c>
      <c r="C36" s="31"/>
      <c r="D36" s="31"/>
      <c r="E36" s="31"/>
      <c r="F36" s="32">
        <v>0</v>
      </c>
      <c r="G36" s="33">
        <v>43915</v>
      </c>
      <c r="H36" s="34">
        <v>43915</v>
      </c>
      <c r="I36" s="35"/>
      <c r="J36" s="1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</row>
    <row r="37" spans="1:178" s="2" customFormat="1" ht="11.25" customHeight="1" outlineLevel="1" thickBot="1">
      <c r="A37" s="13"/>
      <c r="B37" s="40">
        <f t="shared" si="94"/>
        <v>5.5999999999999979</v>
      </c>
      <c r="C37" s="31"/>
      <c r="D37" s="31"/>
      <c r="E37" s="31"/>
      <c r="F37" s="32">
        <v>0</v>
      </c>
      <c r="G37" s="33">
        <v>43946</v>
      </c>
      <c r="H37" s="33">
        <v>43946</v>
      </c>
      <c r="I37" s="35"/>
      <c r="J37" s="1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  <c r="FS37" s="28"/>
      <c r="FT37" s="28"/>
      <c r="FU37" s="28"/>
      <c r="FV37" s="28"/>
    </row>
    <row r="38" spans="1:178" s="2" customFormat="1" ht="11.25" customHeight="1" outlineLevel="1" thickBot="1">
      <c r="A38" s="13"/>
      <c r="B38" s="40">
        <f t="shared" si="94"/>
        <v>5.6999999999999975</v>
      </c>
      <c r="C38" s="31"/>
      <c r="D38" s="31"/>
      <c r="E38" s="31"/>
      <c r="F38" s="32">
        <v>0</v>
      </c>
      <c r="G38" s="33">
        <v>43946</v>
      </c>
      <c r="H38" s="33">
        <v>43946</v>
      </c>
      <c r="I38" s="35"/>
      <c r="J38" s="18">
        <f t="shared" ca="1" si="89"/>
        <v>1</v>
      </c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8"/>
      <c r="FO38" s="28"/>
      <c r="FP38" s="28"/>
      <c r="FQ38" s="28"/>
      <c r="FR38" s="28"/>
      <c r="FS38" s="28"/>
      <c r="FT38" s="28"/>
      <c r="FU38" s="28"/>
      <c r="FV38" s="28"/>
    </row>
    <row r="39" spans="1:178" s="2" customFormat="1" ht="11.25" customHeight="1" outlineLevel="1" thickBot="1">
      <c r="A39" s="13"/>
      <c r="B39" s="40">
        <f t="shared" si="94"/>
        <v>5.7999999999999972</v>
      </c>
      <c r="C39" s="31"/>
      <c r="D39" s="31"/>
      <c r="E39" s="31"/>
      <c r="F39" s="32">
        <v>0</v>
      </c>
      <c r="G39" s="33">
        <v>43915</v>
      </c>
      <c r="H39" s="34">
        <v>43921</v>
      </c>
      <c r="I39" s="35"/>
      <c r="J39" s="18">
        <f t="shared" ca="1" si="89"/>
        <v>7</v>
      </c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  <c r="FS39" s="28"/>
      <c r="FT39" s="28"/>
      <c r="FU39" s="28"/>
      <c r="FV39" s="28"/>
    </row>
    <row r="40" spans="1:178" s="2" customFormat="1" ht="14.25" customHeight="1" thickBot="1">
      <c r="A40" s="13"/>
      <c r="B40" s="42">
        <v>6</v>
      </c>
      <c r="C40" s="36" t="s">
        <v>22</v>
      </c>
      <c r="D40" s="36"/>
      <c r="E40" s="36"/>
      <c r="F40" s="37">
        <v>0.01</v>
      </c>
      <c r="G40" s="38">
        <v>43878</v>
      </c>
      <c r="H40" s="39">
        <v>43946</v>
      </c>
      <c r="I40" s="35"/>
      <c r="J40" s="18">
        <f t="shared" ca="1" si="89"/>
        <v>69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28"/>
      <c r="FN40" s="28"/>
      <c r="FO40" s="28"/>
      <c r="FP40" s="28"/>
      <c r="FQ40" s="28"/>
      <c r="FR40" s="28"/>
      <c r="FS40" s="28"/>
      <c r="FT40" s="28"/>
      <c r="FU40" s="28"/>
      <c r="FV40" s="28"/>
    </row>
    <row r="41" spans="1:178" s="2" customFormat="1" ht="11.25" customHeight="1" outlineLevel="1" thickBot="1">
      <c r="A41" s="13"/>
      <c r="B41" s="40">
        <f t="shared" ref="B41:B48" si="95">B40+0.1</f>
        <v>6.1</v>
      </c>
      <c r="C41" s="31"/>
      <c r="D41" s="31"/>
      <c r="E41" s="31"/>
      <c r="F41" s="32">
        <v>0</v>
      </c>
      <c r="G41" s="33">
        <v>43878</v>
      </c>
      <c r="H41" s="34">
        <v>43885</v>
      </c>
      <c r="I41" s="35"/>
      <c r="J41" s="18">
        <f t="shared" ca="1" si="89"/>
        <v>8</v>
      </c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28"/>
      <c r="FQ41" s="28"/>
      <c r="FR41" s="28"/>
      <c r="FS41" s="28"/>
      <c r="FT41" s="28"/>
      <c r="FU41" s="28"/>
      <c r="FV41" s="28"/>
    </row>
    <row r="42" spans="1:178" s="2" customFormat="1" ht="11.25" customHeight="1" outlineLevel="1" thickBot="1">
      <c r="A42" s="13"/>
      <c r="B42" s="40">
        <f t="shared" si="95"/>
        <v>6.1999999999999993</v>
      </c>
      <c r="C42" s="31"/>
      <c r="D42" s="31"/>
      <c r="E42" s="31"/>
      <c r="F42" s="32">
        <v>0</v>
      </c>
      <c r="G42" s="34">
        <v>43886</v>
      </c>
      <c r="H42" s="34">
        <v>43886</v>
      </c>
      <c r="I42" s="35"/>
      <c r="J42" s="18">
        <f t="shared" ca="1" si="89"/>
        <v>1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  <c r="FS42" s="28"/>
      <c r="FT42" s="28"/>
      <c r="FU42" s="28"/>
      <c r="FV42" s="28"/>
    </row>
    <row r="43" spans="1:178" s="2" customFormat="1" ht="11.25" customHeight="1" outlineLevel="1" thickBot="1">
      <c r="A43" s="13"/>
      <c r="B43" s="40">
        <f t="shared" si="95"/>
        <v>6.2999999999999989</v>
      </c>
      <c r="C43" s="31"/>
      <c r="D43" s="31"/>
      <c r="E43" s="31"/>
      <c r="F43" s="32">
        <v>0</v>
      </c>
      <c r="G43" s="34">
        <v>43886</v>
      </c>
      <c r="H43" s="34">
        <v>43886</v>
      </c>
      <c r="I43" s="35"/>
      <c r="J43" s="1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28"/>
      <c r="FE43" s="28"/>
      <c r="FF43" s="28"/>
      <c r="FG43" s="28"/>
      <c r="FH43" s="28"/>
      <c r="FI43" s="28"/>
      <c r="FJ43" s="28"/>
      <c r="FK43" s="28"/>
      <c r="FL43" s="28"/>
      <c r="FM43" s="28"/>
      <c r="FN43" s="28"/>
      <c r="FO43" s="28"/>
      <c r="FP43" s="28"/>
      <c r="FQ43" s="28"/>
      <c r="FR43" s="28"/>
      <c r="FS43" s="28"/>
      <c r="FT43" s="28"/>
      <c r="FU43" s="28"/>
      <c r="FV43" s="28"/>
    </row>
    <row r="44" spans="1:178" s="2" customFormat="1" ht="11.25" customHeight="1" outlineLevel="1" thickBot="1">
      <c r="A44" s="13"/>
      <c r="B44" s="40">
        <f t="shared" si="95"/>
        <v>6.3999999999999986</v>
      </c>
      <c r="C44" s="31"/>
      <c r="D44" s="31"/>
      <c r="E44" s="31"/>
      <c r="F44" s="32">
        <v>0</v>
      </c>
      <c r="G44" s="34">
        <v>43886</v>
      </c>
      <c r="H44" s="34">
        <v>43915</v>
      </c>
      <c r="I44" s="35"/>
      <c r="J44" s="1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28"/>
      <c r="EI44" s="28"/>
      <c r="EJ44" s="28"/>
      <c r="EK44" s="28"/>
      <c r="EL44" s="28"/>
      <c r="EM44" s="28"/>
      <c r="EN44" s="28"/>
      <c r="EO44" s="28"/>
      <c r="EP44" s="28"/>
      <c r="EQ44" s="28"/>
      <c r="ER44" s="28"/>
      <c r="ES44" s="28"/>
      <c r="ET44" s="28"/>
      <c r="EU44" s="28"/>
      <c r="EV44" s="28"/>
      <c r="EW44" s="28"/>
      <c r="EX44" s="28"/>
      <c r="EY44" s="28"/>
      <c r="EZ44" s="28"/>
      <c r="FA44" s="28"/>
      <c r="FB44" s="28"/>
      <c r="FC44" s="28"/>
      <c r="FD44" s="28"/>
      <c r="FE44" s="28"/>
      <c r="FF44" s="28"/>
      <c r="FG44" s="28"/>
      <c r="FH44" s="28"/>
      <c r="FI44" s="28"/>
      <c r="FJ44" s="28"/>
      <c r="FK44" s="28"/>
      <c r="FL44" s="28"/>
      <c r="FM44" s="28"/>
      <c r="FN44" s="28"/>
      <c r="FO44" s="28"/>
      <c r="FP44" s="28"/>
      <c r="FQ44" s="28"/>
      <c r="FR44" s="28"/>
      <c r="FS44" s="28"/>
      <c r="FT44" s="28"/>
      <c r="FU44" s="28"/>
      <c r="FV44" s="28"/>
    </row>
    <row r="45" spans="1:178" s="2" customFormat="1" ht="11.25" customHeight="1" outlineLevel="1" thickBot="1">
      <c r="A45" s="13"/>
      <c r="B45" s="40">
        <f t="shared" si="95"/>
        <v>6.4999999999999982</v>
      </c>
      <c r="C45" s="31"/>
      <c r="D45" s="31"/>
      <c r="E45" s="31"/>
      <c r="F45" s="32">
        <v>0</v>
      </c>
      <c r="G45" s="33">
        <v>43915</v>
      </c>
      <c r="H45" s="34">
        <v>43915</v>
      </c>
      <c r="I45" s="35"/>
      <c r="J45" s="1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8"/>
      <c r="FG45" s="28"/>
      <c r="FH45" s="28"/>
      <c r="FI45" s="28"/>
      <c r="FJ45" s="28"/>
      <c r="FK45" s="28"/>
      <c r="FL45" s="28"/>
      <c r="FM45" s="28"/>
      <c r="FN45" s="28"/>
      <c r="FO45" s="28"/>
      <c r="FP45" s="28"/>
      <c r="FQ45" s="28"/>
      <c r="FR45" s="28"/>
      <c r="FS45" s="28"/>
      <c r="FT45" s="28"/>
      <c r="FU45" s="28"/>
      <c r="FV45" s="28"/>
    </row>
    <row r="46" spans="1:178" s="2" customFormat="1" ht="11.25" customHeight="1" outlineLevel="1" thickBot="1">
      <c r="A46" s="13"/>
      <c r="B46" s="40">
        <f t="shared" si="95"/>
        <v>6.5999999999999979</v>
      </c>
      <c r="C46" s="31"/>
      <c r="D46" s="31"/>
      <c r="E46" s="31"/>
      <c r="F46" s="32">
        <v>0</v>
      </c>
      <c r="G46" s="33">
        <v>43946</v>
      </c>
      <c r="H46" s="33">
        <v>43946</v>
      </c>
      <c r="I46" s="35"/>
      <c r="J46" s="18">
        <f t="shared" ca="1" si="89"/>
        <v>1</v>
      </c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28"/>
      <c r="FA46" s="28"/>
      <c r="FB46" s="28"/>
      <c r="FC46" s="28"/>
      <c r="FD46" s="28"/>
      <c r="FE46" s="28"/>
      <c r="FF46" s="28"/>
      <c r="FG46" s="28"/>
      <c r="FH46" s="28"/>
      <c r="FI46" s="28"/>
      <c r="FJ46" s="28"/>
      <c r="FK46" s="28"/>
      <c r="FL46" s="28"/>
      <c r="FM46" s="28"/>
      <c r="FN46" s="28"/>
      <c r="FO46" s="28"/>
      <c r="FP46" s="28"/>
      <c r="FQ46" s="28"/>
      <c r="FR46" s="28"/>
      <c r="FS46" s="28"/>
      <c r="FT46" s="28"/>
      <c r="FU46" s="28"/>
      <c r="FV46" s="28"/>
    </row>
    <row r="47" spans="1:178" s="2" customFormat="1" ht="11.25" customHeight="1" outlineLevel="1" thickBot="1">
      <c r="A47" s="13"/>
      <c r="B47" s="40">
        <f t="shared" si="95"/>
        <v>6.6999999999999975</v>
      </c>
      <c r="C47" s="31"/>
      <c r="D47" s="31"/>
      <c r="E47" s="31"/>
      <c r="F47" s="32">
        <v>0</v>
      </c>
      <c r="G47" s="33">
        <v>43946</v>
      </c>
      <c r="H47" s="33">
        <v>43946</v>
      </c>
      <c r="I47" s="35"/>
      <c r="J47" s="18">
        <f t="shared" ca="1" si="89"/>
        <v>1</v>
      </c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  <c r="FF47" s="28"/>
      <c r="FG47" s="28"/>
      <c r="FH47" s="28"/>
      <c r="FI47" s="28"/>
      <c r="FJ47" s="28"/>
      <c r="FK47" s="28"/>
      <c r="FL47" s="28"/>
      <c r="FM47" s="28"/>
      <c r="FN47" s="28"/>
      <c r="FO47" s="28"/>
      <c r="FP47" s="28"/>
      <c r="FQ47" s="28"/>
      <c r="FR47" s="28"/>
      <c r="FS47" s="28"/>
      <c r="FT47" s="28"/>
      <c r="FU47" s="28"/>
      <c r="FV47" s="28"/>
    </row>
    <row r="48" spans="1:178" s="2" customFormat="1" ht="11.25" customHeight="1" outlineLevel="1" thickBot="1">
      <c r="A48" s="13"/>
      <c r="B48" s="40">
        <f t="shared" si="95"/>
        <v>6.7999999999999972</v>
      </c>
      <c r="C48" s="31"/>
      <c r="D48" s="31"/>
      <c r="E48" s="31"/>
      <c r="F48" s="32">
        <v>0</v>
      </c>
      <c r="G48" s="33">
        <v>43915</v>
      </c>
      <c r="H48" s="34">
        <v>43921</v>
      </c>
      <c r="I48" s="35"/>
      <c r="J48" s="18">
        <f t="shared" ca="1" si="89"/>
        <v>7</v>
      </c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  <c r="FI48" s="28"/>
      <c r="FJ48" s="28"/>
      <c r="FK48" s="28"/>
      <c r="FL48" s="28"/>
      <c r="FM48" s="28"/>
      <c r="FN48" s="28"/>
      <c r="FO48" s="28"/>
      <c r="FP48" s="28"/>
      <c r="FQ48" s="28"/>
      <c r="FR48" s="28"/>
      <c r="FS48" s="28"/>
      <c r="FT48" s="28"/>
      <c r="FU48" s="28"/>
      <c r="FV48" s="28"/>
    </row>
    <row r="49" spans="1:178" s="2" customFormat="1" ht="14.25" customHeight="1" thickBot="1">
      <c r="A49" s="13"/>
      <c r="B49" s="42">
        <v>7</v>
      </c>
      <c r="C49" s="36" t="s">
        <v>23</v>
      </c>
      <c r="D49" s="36"/>
      <c r="E49" s="36"/>
      <c r="F49" s="37">
        <v>0.01</v>
      </c>
      <c r="G49" s="38">
        <v>43861</v>
      </c>
      <c r="H49" s="39">
        <v>43889</v>
      </c>
      <c r="I49" s="35"/>
      <c r="J49" s="18">
        <f t="shared" ca="1" si="89"/>
        <v>29</v>
      </c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28"/>
      <c r="ES49" s="28"/>
      <c r="ET49" s="28"/>
      <c r="EU49" s="28"/>
      <c r="EV49" s="28"/>
      <c r="EW49" s="28"/>
      <c r="EX49" s="28"/>
      <c r="EY49" s="28"/>
      <c r="EZ49" s="28"/>
      <c r="FA49" s="28"/>
      <c r="FB49" s="28"/>
      <c r="FC49" s="28"/>
      <c r="FD49" s="28"/>
      <c r="FE49" s="28"/>
      <c r="FF49" s="28"/>
      <c r="FG49" s="28"/>
      <c r="FH49" s="28"/>
      <c r="FI49" s="28"/>
      <c r="FJ49" s="28"/>
      <c r="FK49" s="28"/>
      <c r="FL49" s="28"/>
      <c r="FM49" s="28"/>
      <c r="FN49" s="28"/>
      <c r="FO49" s="28"/>
      <c r="FP49" s="28"/>
      <c r="FQ49" s="28"/>
      <c r="FR49" s="28"/>
      <c r="FS49" s="28"/>
      <c r="FT49" s="28"/>
      <c r="FU49" s="28"/>
      <c r="FV49" s="28"/>
    </row>
    <row r="50" spans="1:178" s="2" customFormat="1" ht="11.25" customHeight="1" outlineLevel="1" thickBot="1">
      <c r="A50" s="13"/>
      <c r="B50" s="40">
        <f t="shared" ref="B50:B52" si="96">B49+0.1</f>
        <v>7.1</v>
      </c>
      <c r="C50" s="31"/>
      <c r="D50" s="31"/>
      <c r="E50" s="31"/>
      <c r="F50" s="32">
        <v>0</v>
      </c>
      <c r="G50" s="33">
        <v>43861</v>
      </c>
      <c r="H50" s="34">
        <v>43883</v>
      </c>
      <c r="I50" s="35"/>
      <c r="J50" s="18">
        <f t="shared" ca="1" si="89"/>
        <v>23</v>
      </c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  <c r="FM50" s="28"/>
      <c r="FN50" s="28"/>
      <c r="FO50" s="28"/>
      <c r="FP50" s="28"/>
      <c r="FQ50" s="28"/>
      <c r="FR50" s="28"/>
      <c r="FS50" s="28"/>
      <c r="FT50" s="28"/>
      <c r="FU50" s="28"/>
      <c r="FV50" s="28"/>
    </row>
    <row r="51" spans="1:178" s="2" customFormat="1" ht="11.25" customHeight="1" outlineLevel="1" thickBot="1">
      <c r="A51" s="13"/>
      <c r="B51" s="40">
        <f t="shared" si="96"/>
        <v>7.1999999999999993</v>
      </c>
      <c r="C51" s="31"/>
      <c r="D51" s="31"/>
      <c r="E51" s="31"/>
      <c r="F51" s="32">
        <v>0</v>
      </c>
      <c r="G51" s="33">
        <v>43884</v>
      </c>
      <c r="H51" s="34">
        <v>43884</v>
      </c>
      <c r="I51" s="35"/>
      <c r="J51" s="18">
        <f t="shared" ca="1" si="89"/>
        <v>1</v>
      </c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  <c r="EP51" s="28"/>
      <c r="EQ51" s="28"/>
      <c r="ER51" s="28"/>
      <c r="ES51" s="28"/>
      <c r="ET51" s="28"/>
      <c r="EU51" s="28"/>
      <c r="EV51" s="28"/>
      <c r="EW51" s="28"/>
      <c r="EX51" s="28"/>
      <c r="EY51" s="28"/>
      <c r="EZ51" s="28"/>
      <c r="FA51" s="28"/>
      <c r="FB51" s="28"/>
      <c r="FC51" s="28"/>
      <c r="FD51" s="28"/>
      <c r="FE51" s="28"/>
      <c r="FF51" s="28"/>
      <c r="FG51" s="28"/>
      <c r="FH51" s="28"/>
      <c r="FI51" s="28"/>
      <c r="FJ51" s="28"/>
      <c r="FK51" s="28"/>
      <c r="FL51" s="28"/>
      <c r="FM51" s="28"/>
      <c r="FN51" s="28"/>
      <c r="FO51" s="28"/>
      <c r="FP51" s="28"/>
      <c r="FQ51" s="28"/>
      <c r="FR51" s="28"/>
      <c r="FS51" s="28"/>
      <c r="FT51" s="28"/>
      <c r="FU51" s="28"/>
      <c r="FV51" s="28"/>
    </row>
    <row r="52" spans="1:178" s="2" customFormat="1" ht="11.25" customHeight="1" outlineLevel="1" thickBot="1">
      <c r="A52" s="13"/>
      <c r="B52" s="40">
        <f t="shared" si="96"/>
        <v>7.2999999999999989</v>
      </c>
      <c r="C52" s="31"/>
      <c r="D52" s="31"/>
      <c r="E52" s="31"/>
      <c r="F52" s="32">
        <v>0</v>
      </c>
      <c r="G52" s="33">
        <v>43884</v>
      </c>
      <c r="H52" s="34">
        <v>43890</v>
      </c>
      <c r="I52" s="35"/>
      <c r="J52" s="18">
        <f t="shared" ca="1" si="89"/>
        <v>7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28"/>
      <c r="EI52" s="28"/>
      <c r="EJ52" s="28"/>
      <c r="EK52" s="28"/>
      <c r="EL52" s="28"/>
      <c r="EM52" s="28"/>
      <c r="EN52" s="28"/>
      <c r="EO52" s="28"/>
      <c r="EP52" s="28"/>
      <c r="EQ52" s="28"/>
      <c r="ER52" s="28"/>
      <c r="ES52" s="28"/>
      <c r="ET52" s="28"/>
      <c r="EU52" s="28"/>
      <c r="EV52" s="28"/>
      <c r="EW52" s="28"/>
      <c r="EX52" s="28"/>
      <c r="EY52" s="28"/>
      <c r="EZ52" s="28"/>
      <c r="FA52" s="28"/>
      <c r="FB52" s="28"/>
      <c r="FC52" s="28"/>
      <c r="FD52" s="28"/>
      <c r="FE52" s="28"/>
      <c r="FF52" s="28"/>
      <c r="FG52" s="28"/>
      <c r="FH52" s="28"/>
      <c r="FI52" s="28"/>
      <c r="FJ52" s="28"/>
      <c r="FK52" s="28"/>
      <c r="FL52" s="28"/>
      <c r="FM52" s="28"/>
      <c r="FN52" s="28"/>
      <c r="FO52" s="28"/>
      <c r="FP52" s="28"/>
      <c r="FQ52" s="28"/>
      <c r="FR52" s="28"/>
      <c r="FS52" s="28"/>
      <c r="FT52" s="28"/>
      <c r="FU52" s="28"/>
      <c r="FV52" s="28"/>
    </row>
    <row r="53" spans="1:178" s="2" customFormat="1" ht="14.25" customHeight="1" thickBot="1">
      <c r="A53" s="13"/>
      <c r="B53" s="42">
        <v>8</v>
      </c>
      <c r="C53" s="36" t="s">
        <v>24</v>
      </c>
      <c r="D53" s="36"/>
      <c r="E53" s="36"/>
      <c r="F53" s="37">
        <v>0.01</v>
      </c>
      <c r="G53" s="38">
        <v>43861</v>
      </c>
      <c r="H53" s="39">
        <v>43921</v>
      </c>
      <c r="I53" s="35"/>
      <c r="J53" s="18">
        <f t="shared" ca="1" si="89"/>
        <v>61</v>
      </c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8"/>
      <c r="EQ53" s="28"/>
      <c r="ER53" s="28"/>
      <c r="ES53" s="28"/>
      <c r="ET53" s="28"/>
      <c r="EU53" s="28"/>
      <c r="EV53" s="28"/>
      <c r="EW53" s="28"/>
      <c r="EX53" s="28"/>
      <c r="EY53" s="28"/>
      <c r="EZ53" s="28"/>
      <c r="FA53" s="28"/>
      <c r="FB53" s="28"/>
      <c r="FC53" s="28"/>
      <c r="FD53" s="28"/>
      <c r="FE53" s="28"/>
      <c r="FF53" s="28"/>
      <c r="FG53" s="28"/>
      <c r="FH53" s="28"/>
      <c r="FI53" s="28"/>
      <c r="FJ53" s="28"/>
      <c r="FK53" s="28"/>
      <c r="FL53" s="28"/>
      <c r="FM53" s="28"/>
      <c r="FN53" s="28"/>
      <c r="FO53" s="28"/>
      <c r="FP53" s="28"/>
      <c r="FQ53" s="28"/>
      <c r="FR53" s="28"/>
      <c r="FS53" s="28"/>
      <c r="FT53" s="28"/>
      <c r="FU53" s="28"/>
      <c r="FV53" s="28"/>
    </row>
    <row r="54" spans="1:178" s="2" customFormat="1" ht="11.25" customHeight="1" outlineLevel="1" thickBot="1">
      <c r="A54" s="13"/>
      <c r="B54" s="40">
        <f t="shared" ref="B54:B60" si="97">B53+0.1</f>
        <v>8.1</v>
      </c>
      <c r="C54" s="31"/>
      <c r="D54" s="31"/>
      <c r="E54" s="31"/>
      <c r="F54" s="32">
        <v>0</v>
      </c>
      <c r="G54" s="33">
        <v>43861</v>
      </c>
      <c r="H54" s="34">
        <v>43866</v>
      </c>
      <c r="I54" s="35"/>
      <c r="J54" s="18">
        <f t="shared" ca="1" si="89"/>
        <v>6</v>
      </c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  <c r="EP54" s="28"/>
      <c r="EQ54" s="28"/>
      <c r="ER54" s="28"/>
      <c r="ES54" s="28"/>
      <c r="ET54" s="28"/>
      <c r="EU54" s="28"/>
      <c r="EV54" s="28"/>
      <c r="EW54" s="28"/>
      <c r="EX54" s="28"/>
      <c r="EY54" s="28"/>
      <c r="EZ54" s="28"/>
      <c r="FA54" s="28"/>
      <c r="FB54" s="28"/>
      <c r="FC54" s="28"/>
      <c r="FD54" s="28"/>
      <c r="FE54" s="28"/>
      <c r="FF54" s="28"/>
      <c r="FG54" s="28"/>
      <c r="FH54" s="28"/>
      <c r="FI54" s="28"/>
      <c r="FJ54" s="28"/>
      <c r="FK54" s="28"/>
      <c r="FL54" s="28"/>
      <c r="FM54" s="28"/>
      <c r="FN54" s="28"/>
      <c r="FO54" s="28"/>
      <c r="FP54" s="28"/>
      <c r="FQ54" s="28"/>
      <c r="FR54" s="28"/>
      <c r="FS54" s="28"/>
      <c r="FT54" s="28"/>
      <c r="FU54" s="28"/>
      <c r="FV54" s="28"/>
    </row>
    <row r="55" spans="1:178" s="2" customFormat="1" ht="11.25" customHeight="1" outlineLevel="1" thickBot="1">
      <c r="A55" s="13"/>
      <c r="B55" s="40">
        <f t="shared" si="97"/>
        <v>8.1999999999999993</v>
      </c>
      <c r="C55" s="31"/>
      <c r="D55" s="31"/>
      <c r="E55" s="31"/>
      <c r="F55" s="32">
        <v>0</v>
      </c>
      <c r="G55" s="33">
        <v>43866</v>
      </c>
      <c r="H55" s="34">
        <v>43866</v>
      </c>
      <c r="I55" s="35"/>
      <c r="J55" s="18">
        <f t="shared" ca="1" si="89"/>
        <v>1</v>
      </c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M55" s="28"/>
      <c r="EN55" s="28"/>
      <c r="EO55" s="28"/>
      <c r="EP55" s="28"/>
      <c r="EQ55" s="28"/>
      <c r="ER55" s="28"/>
      <c r="ES55" s="28"/>
      <c r="ET55" s="28"/>
      <c r="EU55" s="28"/>
      <c r="EV55" s="28"/>
      <c r="EW55" s="28"/>
      <c r="EX55" s="28"/>
      <c r="EY55" s="28"/>
      <c r="EZ55" s="28"/>
      <c r="FA55" s="28"/>
      <c r="FB55" s="28"/>
      <c r="FC55" s="28"/>
      <c r="FD55" s="28"/>
      <c r="FE55" s="28"/>
      <c r="FF55" s="28"/>
      <c r="FG55" s="28"/>
      <c r="FH55" s="28"/>
      <c r="FI55" s="28"/>
      <c r="FJ55" s="28"/>
      <c r="FK55" s="28"/>
      <c r="FL55" s="28"/>
      <c r="FM55" s="28"/>
      <c r="FN55" s="28"/>
      <c r="FO55" s="28"/>
      <c r="FP55" s="28"/>
      <c r="FQ55" s="28"/>
      <c r="FR55" s="28"/>
      <c r="FS55" s="28"/>
      <c r="FT55" s="28"/>
      <c r="FU55" s="28"/>
      <c r="FV55" s="28"/>
    </row>
    <row r="56" spans="1:178" s="2" customFormat="1" ht="11.25" customHeight="1" outlineLevel="1" thickBot="1">
      <c r="A56" s="13"/>
      <c r="B56" s="40">
        <f t="shared" si="97"/>
        <v>8.2999999999999989</v>
      </c>
      <c r="C56" s="31"/>
      <c r="D56" s="31"/>
      <c r="E56" s="31"/>
      <c r="F56" s="32">
        <v>0</v>
      </c>
      <c r="G56" s="33">
        <v>43866</v>
      </c>
      <c r="H56" s="34">
        <v>43890</v>
      </c>
      <c r="I56" s="35"/>
      <c r="J56" s="18">
        <f t="shared" ca="1" si="89"/>
        <v>25</v>
      </c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M56" s="28"/>
      <c r="EN56" s="28"/>
      <c r="EO56" s="28"/>
      <c r="EP56" s="28"/>
      <c r="EQ56" s="28"/>
      <c r="ER56" s="28"/>
      <c r="ES56" s="28"/>
      <c r="ET56" s="28"/>
      <c r="EU56" s="28"/>
      <c r="EV56" s="28"/>
      <c r="EW56" s="28"/>
      <c r="EX56" s="28"/>
      <c r="EY56" s="28"/>
      <c r="EZ56" s="28"/>
      <c r="FA56" s="28"/>
      <c r="FB56" s="28"/>
      <c r="FC56" s="28"/>
      <c r="FD56" s="28"/>
      <c r="FE56" s="28"/>
      <c r="FF56" s="28"/>
      <c r="FG56" s="28"/>
      <c r="FH56" s="28"/>
      <c r="FI56" s="28"/>
      <c r="FJ56" s="28"/>
      <c r="FK56" s="28"/>
      <c r="FL56" s="28"/>
      <c r="FM56" s="28"/>
      <c r="FN56" s="28"/>
      <c r="FO56" s="28"/>
      <c r="FP56" s="28"/>
      <c r="FQ56" s="28"/>
      <c r="FR56" s="28"/>
      <c r="FS56" s="28"/>
      <c r="FT56" s="28"/>
      <c r="FU56" s="28"/>
      <c r="FV56" s="28"/>
    </row>
    <row r="57" spans="1:178" s="2" customFormat="1" ht="11.25" customHeight="1" outlineLevel="1" thickBot="1">
      <c r="A57" s="13"/>
      <c r="B57" s="40">
        <f t="shared" si="97"/>
        <v>8.3999999999999986</v>
      </c>
      <c r="C57" s="31"/>
      <c r="D57" s="31"/>
      <c r="E57" s="31"/>
      <c r="F57" s="32">
        <v>0</v>
      </c>
      <c r="G57" s="33">
        <v>43892</v>
      </c>
      <c r="H57" s="33">
        <v>43892</v>
      </c>
      <c r="I57" s="35"/>
      <c r="J57" s="1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  <c r="EP57" s="28"/>
      <c r="EQ57" s="28"/>
      <c r="ER57" s="28"/>
      <c r="ES57" s="28"/>
      <c r="ET57" s="28"/>
      <c r="EU57" s="28"/>
      <c r="EV57" s="28"/>
      <c r="EW57" s="28"/>
      <c r="EX57" s="28"/>
      <c r="EY57" s="28"/>
      <c r="EZ57" s="28"/>
      <c r="FA57" s="28"/>
      <c r="FB57" s="28"/>
      <c r="FC57" s="28"/>
      <c r="FD57" s="28"/>
      <c r="FE57" s="28"/>
      <c r="FF57" s="28"/>
      <c r="FG57" s="28"/>
      <c r="FH57" s="28"/>
      <c r="FI57" s="28"/>
      <c r="FJ57" s="28"/>
      <c r="FK57" s="28"/>
      <c r="FL57" s="28"/>
      <c r="FM57" s="28"/>
      <c r="FN57" s="28"/>
      <c r="FO57" s="28"/>
      <c r="FP57" s="28"/>
      <c r="FQ57" s="28"/>
      <c r="FR57" s="28"/>
      <c r="FS57" s="28"/>
      <c r="FT57" s="28"/>
      <c r="FU57" s="28"/>
      <c r="FV57" s="28"/>
    </row>
    <row r="58" spans="1:178" s="2" customFormat="1" ht="11.25" customHeight="1" outlineLevel="1" thickBot="1">
      <c r="A58" s="13"/>
      <c r="B58" s="40">
        <f t="shared" si="97"/>
        <v>8.4999999999999982</v>
      </c>
      <c r="C58" s="31"/>
      <c r="D58" s="31"/>
      <c r="E58" s="31"/>
      <c r="F58" s="32">
        <v>0</v>
      </c>
      <c r="G58" s="33">
        <v>43921</v>
      </c>
      <c r="H58" s="33">
        <v>43921</v>
      </c>
      <c r="I58" s="35"/>
      <c r="J58" s="1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/>
      <c r="ES58" s="28"/>
      <c r="ET58" s="28"/>
      <c r="EU58" s="28"/>
      <c r="EV58" s="28"/>
      <c r="EW58" s="28"/>
      <c r="EX58" s="28"/>
      <c r="EY58" s="28"/>
      <c r="EZ58" s="28"/>
      <c r="FA58" s="28"/>
      <c r="FB58" s="28"/>
      <c r="FC58" s="28"/>
      <c r="FD58" s="28"/>
      <c r="FE58" s="28"/>
      <c r="FF58" s="28"/>
      <c r="FG58" s="28"/>
      <c r="FH58" s="28"/>
      <c r="FI58" s="28"/>
      <c r="FJ58" s="28"/>
      <c r="FK58" s="28"/>
      <c r="FL58" s="28"/>
      <c r="FM58" s="28"/>
      <c r="FN58" s="28"/>
      <c r="FO58" s="28"/>
      <c r="FP58" s="28"/>
      <c r="FQ58" s="28"/>
      <c r="FR58" s="28"/>
      <c r="FS58" s="28"/>
      <c r="FT58" s="28"/>
      <c r="FU58" s="28"/>
      <c r="FV58" s="28"/>
    </row>
    <row r="59" spans="1:178" s="2" customFormat="1" ht="11.25" customHeight="1" outlineLevel="1" thickBot="1">
      <c r="A59" s="13"/>
      <c r="B59" s="40">
        <f t="shared" si="97"/>
        <v>8.5999999999999979</v>
      </c>
      <c r="C59" s="31"/>
      <c r="D59" s="31"/>
      <c r="E59" s="31"/>
      <c r="F59" s="32">
        <v>0</v>
      </c>
      <c r="G59" s="33">
        <v>43921</v>
      </c>
      <c r="H59" s="33">
        <v>43921</v>
      </c>
      <c r="I59" s="35"/>
      <c r="J59" s="18">
        <f t="shared" ca="1" si="89"/>
        <v>1</v>
      </c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28"/>
      <c r="FA59" s="28"/>
      <c r="FB59" s="28"/>
      <c r="FC59" s="28"/>
      <c r="FD59" s="28"/>
      <c r="FE59" s="28"/>
      <c r="FF59" s="28"/>
      <c r="FG59" s="28"/>
      <c r="FH59" s="28"/>
      <c r="FI59" s="28"/>
      <c r="FJ59" s="28"/>
      <c r="FK59" s="28"/>
      <c r="FL59" s="28"/>
      <c r="FM59" s="28"/>
      <c r="FN59" s="28"/>
      <c r="FO59" s="28"/>
      <c r="FP59" s="28"/>
      <c r="FQ59" s="28"/>
      <c r="FR59" s="28"/>
      <c r="FS59" s="28"/>
      <c r="FT59" s="28"/>
      <c r="FU59" s="28"/>
      <c r="FV59" s="28"/>
    </row>
    <row r="60" spans="1:178" s="2" customFormat="1" ht="11.25" customHeight="1" outlineLevel="1" thickBot="1">
      <c r="A60" s="13"/>
      <c r="B60" s="40">
        <f t="shared" si="97"/>
        <v>8.6999999999999975</v>
      </c>
      <c r="C60" s="31"/>
      <c r="D60" s="31"/>
      <c r="E60" s="31"/>
      <c r="F60" s="32">
        <v>0</v>
      </c>
      <c r="G60" s="34">
        <v>43890</v>
      </c>
      <c r="H60" s="33">
        <v>43897</v>
      </c>
      <c r="I60" s="35"/>
      <c r="J60" s="18">
        <f t="shared" ca="1" si="89"/>
        <v>8</v>
      </c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  <c r="EP60" s="28"/>
      <c r="EQ60" s="28"/>
      <c r="ER60" s="28"/>
      <c r="ES60" s="28"/>
      <c r="ET60" s="28"/>
      <c r="EU60" s="28"/>
      <c r="EV60" s="28"/>
      <c r="EW60" s="28"/>
      <c r="EX60" s="28"/>
      <c r="EY60" s="28"/>
      <c r="EZ60" s="28"/>
      <c r="FA60" s="28"/>
      <c r="FB60" s="28"/>
      <c r="FC60" s="28"/>
      <c r="FD60" s="28"/>
      <c r="FE60" s="28"/>
      <c r="FF60" s="28"/>
      <c r="FG60" s="28"/>
      <c r="FH60" s="28"/>
      <c r="FI60" s="28"/>
      <c r="FJ60" s="28"/>
      <c r="FK60" s="28"/>
      <c r="FL60" s="28"/>
      <c r="FM60" s="28"/>
      <c r="FN60" s="28"/>
      <c r="FO60" s="28"/>
      <c r="FP60" s="28"/>
      <c r="FQ60" s="28"/>
      <c r="FR60" s="28"/>
      <c r="FS60" s="28"/>
      <c r="FT60" s="28"/>
      <c r="FU60" s="28"/>
      <c r="FV60" s="28"/>
    </row>
    <row r="61" spans="1:178" s="2" customFormat="1" ht="14.25" customHeight="1" thickBot="1">
      <c r="A61" s="13"/>
      <c r="B61" s="42">
        <v>9</v>
      </c>
      <c r="C61" s="36" t="s">
        <v>25</v>
      </c>
      <c r="D61" s="36"/>
      <c r="E61" s="36"/>
      <c r="F61" s="37">
        <v>0.01</v>
      </c>
      <c r="G61" s="38">
        <v>43861</v>
      </c>
      <c r="H61" s="39">
        <v>43889</v>
      </c>
      <c r="I61" s="35"/>
      <c r="J61" s="18">
        <f t="shared" ca="1" si="89"/>
        <v>29</v>
      </c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8"/>
      <c r="EY61" s="28"/>
      <c r="EZ61" s="28"/>
      <c r="FA61" s="28"/>
      <c r="FB61" s="28"/>
      <c r="FC61" s="28"/>
      <c r="FD61" s="28"/>
      <c r="FE61" s="28"/>
      <c r="FF61" s="28"/>
      <c r="FG61" s="28"/>
      <c r="FH61" s="28"/>
      <c r="FI61" s="28"/>
      <c r="FJ61" s="28"/>
      <c r="FK61" s="28"/>
      <c r="FL61" s="28"/>
      <c r="FM61" s="28"/>
      <c r="FN61" s="28"/>
      <c r="FO61" s="28"/>
      <c r="FP61" s="28"/>
      <c r="FQ61" s="28"/>
      <c r="FR61" s="28"/>
      <c r="FS61" s="28"/>
      <c r="FT61" s="28"/>
      <c r="FU61" s="28"/>
      <c r="FV61" s="28"/>
    </row>
    <row r="62" spans="1:178" s="2" customFormat="1" ht="11.25" customHeight="1" outlineLevel="1" thickBot="1">
      <c r="A62" s="13"/>
      <c r="B62" s="40">
        <f t="shared" ref="B62:B64" si="98">B61+0.1</f>
        <v>9.1</v>
      </c>
      <c r="C62" s="31"/>
      <c r="D62" s="31"/>
      <c r="E62" s="31"/>
      <c r="F62" s="32">
        <v>0</v>
      </c>
      <c r="G62" s="33">
        <v>43861</v>
      </c>
      <c r="H62" s="34">
        <v>43883</v>
      </c>
      <c r="I62" s="35"/>
      <c r="J62" s="18">
        <f t="shared" ca="1" si="89"/>
        <v>23</v>
      </c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8"/>
      <c r="FH62" s="28"/>
      <c r="FI62" s="28"/>
      <c r="FJ62" s="28"/>
      <c r="FK62" s="28"/>
      <c r="FL62" s="28"/>
      <c r="FM62" s="28"/>
      <c r="FN62" s="28"/>
      <c r="FO62" s="28"/>
      <c r="FP62" s="28"/>
      <c r="FQ62" s="28"/>
      <c r="FR62" s="28"/>
      <c r="FS62" s="28"/>
      <c r="FT62" s="28"/>
      <c r="FU62" s="28"/>
      <c r="FV62" s="28"/>
    </row>
    <row r="63" spans="1:178" s="2" customFormat="1" ht="11.25" customHeight="1" outlineLevel="1" thickBot="1">
      <c r="A63" s="13"/>
      <c r="B63" s="40">
        <f t="shared" si="98"/>
        <v>9.1999999999999993</v>
      </c>
      <c r="C63" s="31"/>
      <c r="D63" s="31"/>
      <c r="E63" s="31"/>
      <c r="F63" s="32">
        <v>0</v>
      </c>
      <c r="G63" s="33">
        <v>43884</v>
      </c>
      <c r="H63" s="34">
        <v>43884</v>
      </c>
      <c r="I63" s="35"/>
      <c r="J63" s="18">
        <f t="shared" ca="1" si="89"/>
        <v>1</v>
      </c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8"/>
      <c r="EQ63" s="28"/>
      <c r="ER63" s="28"/>
      <c r="ES63" s="28"/>
      <c r="ET63" s="28"/>
      <c r="EU63" s="28"/>
      <c r="EV63" s="28"/>
      <c r="EW63" s="28"/>
      <c r="EX63" s="28"/>
      <c r="EY63" s="28"/>
      <c r="EZ63" s="28"/>
      <c r="FA63" s="28"/>
      <c r="FB63" s="28"/>
      <c r="FC63" s="28"/>
      <c r="FD63" s="28"/>
      <c r="FE63" s="28"/>
      <c r="FF63" s="28"/>
      <c r="FG63" s="28"/>
      <c r="FH63" s="28"/>
      <c r="FI63" s="28"/>
      <c r="FJ63" s="28"/>
      <c r="FK63" s="28"/>
      <c r="FL63" s="28"/>
      <c r="FM63" s="28"/>
      <c r="FN63" s="28"/>
      <c r="FO63" s="28"/>
      <c r="FP63" s="28"/>
      <c r="FQ63" s="28"/>
      <c r="FR63" s="28"/>
      <c r="FS63" s="28"/>
      <c r="FT63" s="28"/>
      <c r="FU63" s="28"/>
      <c r="FV63" s="28"/>
    </row>
    <row r="64" spans="1:178" s="2" customFormat="1" ht="11.25" customHeight="1" outlineLevel="1" thickBot="1">
      <c r="A64" s="13"/>
      <c r="B64" s="40">
        <f t="shared" si="98"/>
        <v>9.2999999999999989</v>
      </c>
      <c r="C64" s="31"/>
      <c r="D64" s="31"/>
      <c r="E64" s="31"/>
      <c r="F64" s="32">
        <v>0</v>
      </c>
      <c r="G64" s="33">
        <v>43884</v>
      </c>
      <c r="H64" s="34">
        <v>43890</v>
      </c>
      <c r="I64" s="35"/>
      <c r="J64" s="18">
        <f t="shared" ca="1" si="89"/>
        <v>7</v>
      </c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8"/>
      <c r="EQ64" s="28"/>
      <c r="ER64" s="28"/>
      <c r="ES64" s="28"/>
      <c r="ET64" s="28"/>
      <c r="EU64" s="28"/>
      <c r="EV64" s="28"/>
      <c r="EW64" s="28"/>
      <c r="EX64" s="28"/>
      <c r="EY64" s="28"/>
      <c r="EZ64" s="28"/>
      <c r="FA64" s="28"/>
      <c r="FB64" s="28"/>
      <c r="FC64" s="28"/>
      <c r="FD64" s="28"/>
      <c r="FE64" s="28"/>
      <c r="FF64" s="28"/>
      <c r="FG64" s="28"/>
      <c r="FH64" s="28"/>
      <c r="FI64" s="28"/>
      <c r="FJ64" s="28"/>
      <c r="FK64" s="28"/>
      <c r="FL64" s="28"/>
      <c r="FM64" s="28"/>
      <c r="FN64" s="28"/>
      <c r="FO64" s="28"/>
      <c r="FP64" s="28"/>
      <c r="FQ64" s="28"/>
      <c r="FR64" s="28"/>
      <c r="FS64" s="28"/>
      <c r="FT64" s="28"/>
      <c r="FU64" s="28"/>
      <c r="FV64" s="28"/>
    </row>
    <row r="65" spans="1:178" s="2" customFormat="1" ht="14.25" customHeight="1" thickBot="1">
      <c r="A65" s="13"/>
      <c r="B65" s="42">
        <v>10</v>
      </c>
      <c r="C65" s="36" t="s">
        <v>26</v>
      </c>
      <c r="D65" s="36"/>
      <c r="E65" s="36"/>
      <c r="F65" s="37">
        <v>0.01</v>
      </c>
      <c r="G65" s="38">
        <v>43861</v>
      </c>
      <c r="H65" s="39">
        <v>43921</v>
      </c>
      <c r="I65" s="35"/>
      <c r="J65" s="18">
        <f t="shared" ca="1" si="89"/>
        <v>61</v>
      </c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8"/>
      <c r="FG65" s="28"/>
      <c r="FH65" s="28"/>
      <c r="FI65" s="28"/>
      <c r="FJ65" s="28"/>
      <c r="FK65" s="28"/>
      <c r="FL65" s="28"/>
      <c r="FM65" s="28"/>
      <c r="FN65" s="28"/>
      <c r="FO65" s="28"/>
      <c r="FP65" s="28"/>
      <c r="FQ65" s="28"/>
      <c r="FR65" s="28"/>
      <c r="FS65" s="28"/>
      <c r="FT65" s="28"/>
      <c r="FU65" s="28"/>
      <c r="FV65" s="28"/>
    </row>
    <row r="66" spans="1:178" s="2" customFormat="1" ht="11.25" customHeight="1" outlineLevel="1" thickBot="1">
      <c r="A66" s="13"/>
      <c r="B66" s="40">
        <f t="shared" ref="B66:B72" si="99">B65+0.1</f>
        <v>10.1</v>
      </c>
      <c r="C66" s="31"/>
      <c r="D66" s="31"/>
      <c r="E66" s="31"/>
      <c r="F66" s="32">
        <v>0</v>
      </c>
      <c r="G66" s="33">
        <v>43861</v>
      </c>
      <c r="H66" s="34">
        <v>43866</v>
      </c>
      <c r="I66" s="35"/>
      <c r="J66" s="18">
        <f t="shared" ca="1" si="89"/>
        <v>6</v>
      </c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8"/>
      <c r="FG66" s="28"/>
      <c r="FH66" s="28"/>
      <c r="FI66" s="28"/>
      <c r="FJ66" s="28"/>
      <c r="FK66" s="28"/>
      <c r="FL66" s="28"/>
      <c r="FM66" s="28"/>
      <c r="FN66" s="28"/>
      <c r="FO66" s="28"/>
      <c r="FP66" s="28"/>
      <c r="FQ66" s="28"/>
      <c r="FR66" s="28"/>
      <c r="FS66" s="28"/>
      <c r="FT66" s="28"/>
      <c r="FU66" s="28"/>
      <c r="FV66" s="28"/>
    </row>
    <row r="67" spans="1:178" s="2" customFormat="1" ht="11.25" customHeight="1" outlineLevel="1" thickBot="1">
      <c r="A67" s="13"/>
      <c r="B67" s="40">
        <f t="shared" si="99"/>
        <v>10.199999999999999</v>
      </c>
      <c r="C67" s="31"/>
      <c r="D67" s="31"/>
      <c r="E67" s="31"/>
      <c r="F67" s="32">
        <v>0</v>
      </c>
      <c r="G67" s="33">
        <v>43866</v>
      </c>
      <c r="H67" s="34">
        <v>43866</v>
      </c>
      <c r="I67" s="35"/>
      <c r="J67" s="18">
        <f t="shared" ca="1" si="89"/>
        <v>1</v>
      </c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8"/>
      <c r="EQ67" s="28"/>
      <c r="ER67" s="28"/>
      <c r="ES67" s="28"/>
      <c r="ET67" s="28"/>
      <c r="EU67" s="28"/>
      <c r="EV67" s="28"/>
      <c r="EW67" s="28"/>
      <c r="EX67" s="28"/>
      <c r="EY67" s="28"/>
      <c r="EZ67" s="28"/>
      <c r="FA67" s="28"/>
      <c r="FB67" s="28"/>
      <c r="FC67" s="28"/>
      <c r="FD67" s="28"/>
      <c r="FE67" s="28"/>
      <c r="FF67" s="28"/>
      <c r="FG67" s="28"/>
      <c r="FH67" s="28"/>
      <c r="FI67" s="28"/>
      <c r="FJ67" s="28"/>
      <c r="FK67" s="28"/>
      <c r="FL67" s="28"/>
      <c r="FM67" s="28"/>
      <c r="FN67" s="28"/>
      <c r="FO67" s="28"/>
      <c r="FP67" s="28"/>
      <c r="FQ67" s="28"/>
      <c r="FR67" s="28"/>
      <c r="FS67" s="28"/>
      <c r="FT67" s="28"/>
      <c r="FU67" s="28"/>
      <c r="FV67" s="28"/>
    </row>
    <row r="68" spans="1:178" s="2" customFormat="1" ht="11.25" customHeight="1" outlineLevel="1" thickBot="1">
      <c r="A68" s="13"/>
      <c r="B68" s="40">
        <f t="shared" si="99"/>
        <v>10.299999999999999</v>
      </c>
      <c r="C68" s="31"/>
      <c r="D68" s="31"/>
      <c r="E68" s="31"/>
      <c r="F68" s="32">
        <v>0</v>
      </c>
      <c r="G68" s="33">
        <v>43866</v>
      </c>
      <c r="H68" s="34">
        <v>43890</v>
      </c>
      <c r="I68" s="35"/>
      <c r="J68" s="18">
        <f t="shared" ca="1" si="89"/>
        <v>25</v>
      </c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8"/>
      <c r="EQ68" s="28"/>
      <c r="ER68" s="28"/>
      <c r="ES68" s="28"/>
      <c r="ET68" s="28"/>
      <c r="EU68" s="28"/>
      <c r="EV68" s="28"/>
      <c r="EW68" s="28"/>
      <c r="EX68" s="28"/>
      <c r="EY68" s="28"/>
      <c r="EZ68" s="28"/>
      <c r="FA68" s="28"/>
      <c r="FB68" s="28"/>
      <c r="FC68" s="28"/>
      <c r="FD68" s="28"/>
      <c r="FE68" s="28"/>
      <c r="FF68" s="28"/>
      <c r="FG68" s="28"/>
      <c r="FH68" s="28"/>
      <c r="FI68" s="28"/>
      <c r="FJ68" s="28"/>
      <c r="FK68" s="28"/>
      <c r="FL68" s="28"/>
      <c r="FM68" s="28"/>
      <c r="FN68" s="28"/>
      <c r="FO68" s="28"/>
      <c r="FP68" s="28"/>
      <c r="FQ68" s="28"/>
      <c r="FR68" s="28"/>
      <c r="FS68" s="28"/>
      <c r="FT68" s="28"/>
      <c r="FU68" s="28"/>
      <c r="FV68" s="28"/>
    </row>
    <row r="69" spans="1:178" s="2" customFormat="1" ht="11.25" customHeight="1" outlineLevel="1" thickBot="1">
      <c r="A69" s="13"/>
      <c r="B69" s="40">
        <f t="shared" si="99"/>
        <v>10.399999999999999</v>
      </c>
      <c r="C69" s="31"/>
      <c r="D69" s="31"/>
      <c r="E69" s="31"/>
      <c r="F69" s="32">
        <v>0</v>
      </c>
      <c r="G69" s="33">
        <v>43892</v>
      </c>
      <c r="H69" s="33">
        <v>43892</v>
      </c>
      <c r="I69" s="35"/>
      <c r="J69" s="1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28"/>
      <c r="ES69" s="28"/>
      <c r="ET69" s="28"/>
      <c r="EU69" s="28"/>
      <c r="EV69" s="28"/>
      <c r="EW69" s="28"/>
      <c r="EX69" s="28"/>
      <c r="EY69" s="28"/>
      <c r="EZ69" s="28"/>
      <c r="FA69" s="28"/>
      <c r="FB69" s="28"/>
      <c r="FC69" s="28"/>
      <c r="FD69" s="28"/>
      <c r="FE69" s="28"/>
      <c r="FF69" s="28"/>
      <c r="FG69" s="28"/>
      <c r="FH69" s="28"/>
      <c r="FI69" s="28"/>
      <c r="FJ69" s="28"/>
      <c r="FK69" s="28"/>
      <c r="FL69" s="28"/>
      <c r="FM69" s="28"/>
      <c r="FN69" s="28"/>
      <c r="FO69" s="28"/>
      <c r="FP69" s="28"/>
      <c r="FQ69" s="28"/>
      <c r="FR69" s="28"/>
      <c r="FS69" s="28"/>
      <c r="FT69" s="28"/>
      <c r="FU69" s="28"/>
      <c r="FV69" s="28"/>
    </row>
    <row r="70" spans="1:178" s="2" customFormat="1" ht="11.25" customHeight="1" outlineLevel="1" thickBot="1">
      <c r="A70" s="13"/>
      <c r="B70" s="40">
        <f t="shared" si="99"/>
        <v>10.499999999999998</v>
      </c>
      <c r="C70" s="31"/>
      <c r="D70" s="31"/>
      <c r="E70" s="31"/>
      <c r="F70" s="32">
        <v>0</v>
      </c>
      <c r="G70" s="33">
        <v>43921</v>
      </c>
      <c r="H70" s="33">
        <v>43921</v>
      </c>
      <c r="I70" s="35"/>
      <c r="J70" s="1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  <c r="FM70" s="28"/>
      <c r="FN70" s="28"/>
      <c r="FO70" s="28"/>
      <c r="FP70" s="28"/>
      <c r="FQ70" s="28"/>
      <c r="FR70" s="28"/>
      <c r="FS70" s="28"/>
      <c r="FT70" s="28"/>
      <c r="FU70" s="28"/>
      <c r="FV70" s="28"/>
    </row>
    <row r="71" spans="1:178" s="2" customFormat="1" ht="11.25" customHeight="1" outlineLevel="1" thickBot="1">
      <c r="A71" s="13"/>
      <c r="B71" s="40">
        <f t="shared" si="99"/>
        <v>10.599999999999998</v>
      </c>
      <c r="C71" s="31"/>
      <c r="D71" s="31"/>
      <c r="E71" s="31"/>
      <c r="F71" s="32">
        <v>0</v>
      </c>
      <c r="G71" s="33">
        <v>43921</v>
      </c>
      <c r="H71" s="33">
        <v>43921</v>
      </c>
      <c r="I71" s="35"/>
      <c r="J71" s="18">
        <f t="shared" ca="1" si="89"/>
        <v>1</v>
      </c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28"/>
      <c r="FQ71" s="28"/>
      <c r="FR71" s="28"/>
      <c r="FS71" s="28"/>
      <c r="FT71" s="28"/>
      <c r="FU71" s="28"/>
      <c r="FV71" s="28"/>
    </row>
    <row r="72" spans="1:178" s="2" customFormat="1" ht="11.25" customHeight="1" outlineLevel="1" thickBot="1">
      <c r="A72" s="13"/>
      <c r="B72" s="40">
        <f t="shared" si="99"/>
        <v>10.699999999999998</v>
      </c>
      <c r="C72" s="31"/>
      <c r="D72" s="31"/>
      <c r="E72" s="31"/>
      <c r="F72" s="32">
        <v>0</v>
      </c>
      <c r="G72" s="34">
        <v>43890</v>
      </c>
      <c r="H72" s="33">
        <v>43897</v>
      </c>
      <c r="I72" s="35"/>
      <c r="J72" s="18">
        <f t="shared" ca="1" si="89"/>
        <v>8</v>
      </c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  <c r="FS72" s="28"/>
      <c r="FT72" s="28"/>
      <c r="FU72" s="28"/>
      <c r="FV72" s="28"/>
    </row>
    <row r="73" spans="1:178" s="2" customFormat="1" ht="14.25" customHeight="1" thickBot="1">
      <c r="A73" s="13"/>
      <c r="B73" s="42">
        <v>11</v>
      </c>
      <c r="C73" s="36" t="s">
        <v>27</v>
      </c>
      <c r="D73" s="36"/>
      <c r="E73" s="36"/>
      <c r="F73" s="37">
        <v>0.01</v>
      </c>
      <c r="G73" s="38">
        <v>43892</v>
      </c>
      <c r="H73" s="38">
        <v>43959</v>
      </c>
      <c r="I73" s="35"/>
      <c r="J73" s="18">
        <f t="shared" ca="1" si="89"/>
        <v>68</v>
      </c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  <c r="FS73" s="28"/>
      <c r="FT73" s="28"/>
      <c r="FU73" s="28"/>
      <c r="FV73" s="28"/>
    </row>
    <row r="74" spans="1:178" s="2" customFormat="1" ht="10.5" customHeight="1" outlineLevel="1" thickBot="1">
      <c r="A74" s="13"/>
      <c r="B74" s="40">
        <f t="shared" ref="B74:B81" si="100">B73+0.1</f>
        <v>11.1</v>
      </c>
      <c r="C74" s="31"/>
      <c r="D74" s="31"/>
      <c r="E74" s="31"/>
      <c r="F74" s="32">
        <v>0</v>
      </c>
      <c r="G74" s="33">
        <v>43892</v>
      </c>
      <c r="H74" s="33">
        <v>43892</v>
      </c>
      <c r="I74" s="35"/>
      <c r="J74" s="18">
        <f t="shared" ca="1" si="89"/>
        <v>1</v>
      </c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8"/>
      <c r="FK74" s="28"/>
      <c r="FL74" s="28"/>
      <c r="FM74" s="28"/>
      <c r="FN74" s="28"/>
      <c r="FO74" s="28"/>
      <c r="FP74" s="28"/>
      <c r="FQ74" s="28"/>
      <c r="FR74" s="28"/>
      <c r="FS74" s="28"/>
      <c r="FT74" s="28"/>
      <c r="FU74" s="28"/>
      <c r="FV74" s="28"/>
    </row>
    <row r="75" spans="1:178" s="2" customFormat="1" ht="10.5" customHeight="1" outlineLevel="1" thickBot="1">
      <c r="A75" s="13"/>
      <c r="B75" s="40">
        <f t="shared" si="100"/>
        <v>11.2</v>
      </c>
      <c r="C75" s="31"/>
      <c r="D75" s="31"/>
      <c r="E75" s="31"/>
      <c r="F75" s="32">
        <v>0</v>
      </c>
      <c r="G75" s="33">
        <v>43892</v>
      </c>
      <c r="H75" s="34">
        <v>43899</v>
      </c>
      <c r="I75" s="35"/>
      <c r="J75" s="1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  <c r="FS75" s="28"/>
      <c r="FT75" s="28"/>
      <c r="FU75" s="28"/>
      <c r="FV75" s="28"/>
    </row>
    <row r="76" spans="1:178" s="2" customFormat="1" ht="11.25" customHeight="1" outlineLevel="1" thickBot="1">
      <c r="A76" s="13"/>
      <c r="B76" s="40">
        <f t="shared" si="100"/>
        <v>11.299999999999999</v>
      </c>
      <c r="C76" s="31"/>
      <c r="D76" s="31"/>
      <c r="E76" s="31"/>
      <c r="F76" s="32">
        <v>0</v>
      </c>
      <c r="G76" s="34">
        <v>43899</v>
      </c>
      <c r="H76" s="34">
        <v>43899</v>
      </c>
      <c r="I76" s="35"/>
      <c r="J76" s="18">
        <f t="shared" ca="1" si="89"/>
        <v>1</v>
      </c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  <c r="FI76" s="28"/>
      <c r="FJ76" s="28"/>
      <c r="FK76" s="28"/>
      <c r="FL76" s="28"/>
      <c r="FM76" s="28"/>
      <c r="FN76" s="28"/>
      <c r="FO76" s="28"/>
      <c r="FP76" s="28"/>
      <c r="FQ76" s="28"/>
      <c r="FR76" s="28"/>
      <c r="FS76" s="28"/>
      <c r="FT76" s="28"/>
      <c r="FU76" s="28"/>
      <c r="FV76" s="28"/>
    </row>
    <row r="77" spans="1:178" s="2" customFormat="1" ht="11.25" customHeight="1" outlineLevel="1" thickBot="1">
      <c r="A77" s="13"/>
      <c r="B77" s="40">
        <f t="shared" si="100"/>
        <v>11.399999999999999</v>
      </c>
      <c r="C77" s="31"/>
      <c r="D77" s="31"/>
      <c r="E77" s="31"/>
      <c r="F77" s="32">
        <v>0</v>
      </c>
      <c r="G77" s="34">
        <v>43899</v>
      </c>
      <c r="H77" s="34">
        <v>43930</v>
      </c>
      <c r="I77" s="35"/>
      <c r="J77" s="18">
        <f t="shared" ca="1" si="89"/>
        <v>32</v>
      </c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  <c r="EP77" s="28"/>
      <c r="EQ77" s="28"/>
      <c r="ER77" s="28"/>
      <c r="ES77" s="28"/>
      <c r="ET77" s="28"/>
      <c r="EU77" s="28"/>
      <c r="EV77" s="28"/>
      <c r="EW77" s="28"/>
      <c r="EX77" s="28"/>
      <c r="EY77" s="28"/>
      <c r="EZ77" s="28"/>
      <c r="FA77" s="28"/>
      <c r="FB77" s="28"/>
      <c r="FC77" s="28"/>
      <c r="FD77" s="28"/>
      <c r="FE77" s="28"/>
      <c r="FF77" s="28"/>
      <c r="FG77" s="28"/>
      <c r="FH77" s="28"/>
      <c r="FI77" s="28"/>
      <c r="FJ77" s="28"/>
      <c r="FK77" s="28"/>
      <c r="FL77" s="28"/>
      <c r="FM77" s="28"/>
      <c r="FN77" s="28"/>
      <c r="FO77" s="28"/>
      <c r="FP77" s="28"/>
      <c r="FQ77" s="28"/>
      <c r="FR77" s="28"/>
      <c r="FS77" s="28"/>
      <c r="FT77" s="28"/>
      <c r="FU77" s="28"/>
      <c r="FV77" s="28"/>
    </row>
    <row r="78" spans="1:178" s="2" customFormat="1" ht="11.25" customHeight="1" outlineLevel="1" thickBot="1">
      <c r="A78" s="13"/>
      <c r="B78" s="40">
        <f t="shared" si="100"/>
        <v>11.499999999999998</v>
      </c>
      <c r="C78" s="31"/>
      <c r="D78" s="31"/>
      <c r="E78" s="31"/>
      <c r="F78" s="32">
        <v>0</v>
      </c>
      <c r="G78" s="33">
        <v>43930</v>
      </c>
      <c r="H78" s="34">
        <v>43930</v>
      </c>
      <c r="I78" s="35"/>
      <c r="J78" s="1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  <c r="EP78" s="28"/>
      <c r="EQ78" s="28"/>
      <c r="ER78" s="28"/>
      <c r="ES78" s="28"/>
      <c r="ET78" s="28"/>
      <c r="EU78" s="28"/>
      <c r="EV78" s="28"/>
      <c r="EW78" s="28"/>
      <c r="EX78" s="28"/>
      <c r="EY78" s="28"/>
      <c r="EZ78" s="28"/>
      <c r="FA78" s="28"/>
      <c r="FB78" s="28"/>
      <c r="FC78" s="28"/>
      <c r="FD78" s="28"/>
      <c r="FE78" s="28"/>
      <c r="FF78" s="28"/>
      <c r="FG78" s="28"/>
      <c r="FH78" s="28"/>
      <c r="FI78" s="28"/>
      <c r="FJ78" s="28"/>
      <c r="FK78" s="28"/>
      <c r="FL78" s="28"/>
      <c r="FM78" s="28"/>
      <c r="FN78" s="28"/>
      <c r="FO78" s="28"/>
      <c r="FP78" s="28"/>
      <c r="FQ78" s="28"/>
      <c r="FR78" s="28"/>
      <c r="FS78" s="28"/>
      <c r="FT78" s="28"/>
      <c r="FU78" s="28"/>
      <c r="FV78" s="28"/>
    </row>
    <row r="79" spans="1:178" s="2" customFormat="1" ht="11.25" customHeight="1" outlineLevel="1" thickBot="1">
      <c r="A79" s="13"/>
      <c r="B79" s="40">
        <f t="shared" si="100"/>
        <v>11.599999999999998</v>
      </c>
      <c r="C79" s="31"/>
      <c r="D79" s="31"/>
      <c r="E79" s="31"/>
      <c r="F79" s="32">
        <v>0</v>
      </c>
      <c r="G79" s="33">
        <v>43959</v>
      </c>
      <c r="H79" s="33">
        <v>43959</v>
      </c>
      <c r="I79" s="35"/>
      <c r="J79" s="1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8"/>
      <c r="EQ79" s="28"/>
      <c r="ER79" s="28"/>
      <c r="ES79" s="28"/>
      <c r="ET79" s="28"/>
      <c r="EU79" s="28"/>
      <c r="EV79" s="28"/>
      <c r="EW79" s="28"/>
      <c r="EX79" s="28"/>
      <c r="EY79" s="28"/>
      <c r="EZ79" s="28"/>
      <c r="FA79" s="28"/>
      <c r="FB79" s="28"/>
      <c r="FC79" s="28"/>
      <c r="FD79" s="28"/>
      <c r="FE79" s="28"/>
      <c r="FF79" s="28"/>
      <c r="FG79" s="28"/>
      <c r="FH79" s="28"/>
      <c r="FI79" s="28"/>
      <c r="FJ79" s="28"/>
      <c r="FK79" s="28"/>
      <c r="FL79" s="28"/>
      <c r="FM79" s="28"/>
      <c r="FN79" s="28"/>
      <c r="FO79" s="28"/>
      <c r="FP79" s="28"/>
      <c r="FQ79" s="28"/>
      <c r="FR79" s="28"/>
      <c r="FS79" s="28"/>
      <c r="FT79" s="28"/>
      <c r="FU79" s="28"/>
      <c r="FV79" s="28"/>
    </row>
    <row r="80" spans="1:178" s="2" customFormat="1" ht="11.25" customHeight="1" outlineLevel="1" thickBot="1">
      <c r="A80" s="13"/>
      <c r="B80" s="40">
        <f t="shared" si="100"/>
        <v>11.699999999999998</v>
      </c>
      <c r="C80" s="31"/>
      <c r="D80" s="31"/>
      <c r="E80" s="31"/>
      <c r="F80" s="32">
        <v>0</v>
      </c>
      <c r="G80" s="33">
        <v>43959</v>
      </c>
      <c r="H80" s="33">
        <v>43959</v>
      </c>
      <c r="I80" s="35"/>
      <c r="J80" s="18">
        <f t="shared" ca="1" si="89"/>
        <v>1</v>
      </c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  <c r="FA80" s="28"/>
      <c r="FB80" s="28"/>
      <c r="FC80" s="28"/>
      <c r="FD80" s="28"/>
      <c r="FE80" s="28"/>
      <c r="FF80" s="28"/>
      <c r="FG80" s="28"/>
      <c r="FH80" s="28"/>
      <c r="FI80" s="28"/>
      <c r="FJ80" s="28"/>
      <c r="FK80" s="28"/>
      <c r="FL80" s="28"/>
      <c r="FM80" s="28"/>
      <c r="FN80" s="28"/>
      <c r="FO80" s="28"/>
      <c r="FP80" s="28"/>
      <c r="FQ80" s="28"/>
      <c r="FR80" s="28"/>
      <c r="FS80" s="28"/>
      <c r="FT80" s="28"/>
      <c r="FU80" s="28"/>
      <c r="FV80" s="28"/>
    </row>
    <row r="81" spans="1:178" s="2" customFormat="1" ht="11.25" customHeight="1" outlineLevel="1" thickBot="1">
      <c r="A81" s="13"/>
      <c r="B81" s="40">
        <f t="shared" si="100"/>
        <v>11.799999999999997</v>
      </c>
      <c r="C81" s="31"/>
      <c r="D81" s="31"/>
      <c r="E81" s="31"/>
      <c r="F81" s="32">
        <v>0</v>
      </c>
      <c r="G81" s="33">
        <v>43930</v>
      </c>
      <c r="H81" s="34">
        <v>43937</v>
      </c>
      <c r="I81" s="35"/>
      <c r="J81" s="18">
        <f t="shared" ref="J81" ca="1" si="101">IF(OR(ISBLANK(task_start),ISBLANK(task_end)),"",task_end-task_start+1)</f>
        <v>8</v>
      </c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8"/>
      <c r="EQ81" s="28"/>
      <c r="ER81" s="28"/>
      <c r="ES81" s="28"/>
      <c r="ET81" s="28"/>
      <c r="EU81" s="28"/>
      <c r="EV81" s="28"/>
      <c r="EW81" s="28"/>
      <c r="EX81" s="28"/>
      <c r="EY81" s="28"/>
      <c r="EZ81" s="28"/>
      <c r="FA81" s="28"/>
      <c r="FB81" s="28"/>
      <c r="FC81" s="28"/>
      <c r="FD81" s="28"/>
      <c r="FE81" s="28"/>
      <c r="FF81" s="28"/>
      <c r="FG81" s="28"/>
      <c r="FH81" s="28"/>
      <c r="FI81" s="28"/>
      <c r="FJ81" s="28"/>
      <c r="FK81" s="28"/>
      <c r="FL81" s="28"/>
      <c r="FM81" s="28"/>
      <c r="FN81" s="28"/>
      <c r="FO81" s="28"/>
      <c r="FP81" s="28"/>
      <c r="FQ81" s="28"/>
      <c r="FR81" s="28"/>
      <c r="FS81" s="28"/>
      <c r="FT81" s="28"/>
      <c r="FU81" s="28"/>
      <c r="FV81" s="28"/>
    </row>
    <row r="82" spans="1:178">
      <c r="G82" s="26"/>
      <c r="H82" s="27"/>
    </row>
  </sheetData>
  <mergeCells count="29">
    <mergeCell ref="L1:AC1"/>
    <mergeCell ref="AM4:AS4"/>
    <mergeCell ref="AT4:AZ4"/>
    <mergeCell ref="BA4:BG4"/>
    <mergeCell ref="BH4:BN4"/>
    <mergeCell ref="CJ4:CP4"/>
    <mergeCell ref="CQ4:CW4"/>
    <mergeCell ref="G2:H2"/>
    <mergeCell ref="K4:Q4"/>
    <mergeCell ref="R4:X4"/>
    <mergeCell ref="Y4:AE4"/>
    <mergeCell ref="AF4:AL4"/>
    <mergeCell ref="G3:H3"/>
    <mergeCell ref="B1:B2"/>
    <mergeCell ref="FP4:FV4"/>
    <mergeCell ref="C1:C2"/>
    <mergeCell ref="EG4:EM4"/>
    <mergeCell ref="EN4:ET4"/>
    <mergeCell ref="EU4:FA4"/>
    <mergeCell ref="FB4:FH4"/>
    <mergeCell ref="FI4:FO4"/>
    <mergeCell ref="CX4:DD4"/>
    <mergeCell ref="DE4:DK4"/>
    <mergeCell ref="DL4:DR4"/>
    <mergeCell ref="DS4:DY4"/>
    <mergeCell ref="DZ4:EF4"/>
    <mergeCell ref="BO4:BU4"/>
    <mergeCell ref="BV4:CB4"/>
    <mergeCell ref="CC4:CI4"/>
  </mergeCells>
  <phoneticPr fontId="15" type="noConversion"/>
  <conditionalFormatting sqref="F7 F9 F17:F19 F38:F39 F23:F24 F21 F26:F30 F32:F34">
    <cfRule type="dataBar" priority="9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K5:FV81">
    <cfRule type="expression" dxfId="4" priority="114">
      <formula>AND(today&gt;=K$5,today&lt;K$5+1)</formula>
    </cfRule>
  </conditionalFormatting>
  <conditionalFormatting sqref="F10">
    <cfRule type="dataBar" priority="66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{7D3B3AA3-50D5-4040-8A5D-345DED3AB63D}</x14:id>
        </ext>
      </extLst>
    </cfRule>
  </conditionalFormatting>
  <conditionalFormatting sqref="F11">
    <cfRule type="dataBar" priority="6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{FFBB7885-E59B-466D-BBEB-0EB287F16578}</x14:id>
        </ext>
      </extLst>
    </cfRule>
  </conditionalFormatting>
  <conditionalFormatting sqref="F13">
    <cfRule type="dataBar" priority="6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{7F8B654D-4E83-458D-81B1-B6CA2D11548B}</x14:id>
        </ext>
      </extLst>
    </cfRule>
  </conditionalFormatting>
  <conditionalFormatting sqref="F15">
    <cfRule type="dataBar" priority="6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{337642EB-36C0-4E6D-86E5-2DE451DBA3D3}</x14:id>
        </ext>
      </extLst>
    </cfRule>
  </conditionalFormatting>
  <conditionalFormatting sqref="F12">
    <cfRule type="dataBar" priority="6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{A97D2D5B-B6C7-4830-B3B9-46FF77AFCB04}</x14:id>
        </ext>
      </extLst>
    </cfRule>
  </conditionalFormatting>
  <conditionalFormatting sqref="F14">
    <cfRule type="dataBar" priority="6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{83973793-C51D-43F6-AB5F-E75947A1A015}</x14:id>
        </ext>
      </extLst>
    </cfRule>
  </conditionalFormatting>
  <conditionalFormatting sqref="F8">
    <cfRule type="dataBar" priority="60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{C1674383-76AC-40B7-9E14-ADD4874C0A10}</x14:id>
        </ext>
      </extLst>
    </cfRule>
  </conditionalFormatting>
  <conditionalFormatting sqref="F35:F37">
    <cfRule type="dataBar" priority="2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{402437B6-2107-4459-B970-1EE3F73A6AC5}</x14:id>
        </ext>
      </extLst>
    </cfRule>
  </conditionalFormatting>
  <conditionalFormatting sqref="F56">
    <cfRule type="dataBar" priority="2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{2C670459-13D5-4840-9228-3ACEA12F55BB}</x14:id>
        </ext>
      </extLst>
    </cfRule>
  </conditionalFormatting>
  <conditionalFormatting sqref="F50:F52">
    <cfRule type="dataBar" priority="5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{C4B09FF5-0D7B-4EA2-8756-96C4B5903D8B}</x14:id>
        </ext>
      </extLst>
    </cfRule>
  </conditionalFormatting>
  <conditionalFormatting sqref="F54:F55 F59:F60">
    <cfRule type="dataBar" priority="4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{A7D9A276-E3F2-4764-BF67-1CBEE0BD7804}</x14:id>
        </ext>
      </extLst>
    </cfRule>
  </conditionalFormatting>
  <conditionalFormatting sqref="F62:F64">
    <cfRule type="dataBar" priority="3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{FB7B44A5-0D91-4418-8DD7-304A321711EA}</x14:id>
        </ext>
      </extLst>
    </cfRule>
  </conditionalFormatting>
  <conditionalFormatting sqref="F66:F72">
    <cfRule type="dataBar" priority="3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{649F8035-16CA-47DA-9747-298AEC1C3358}</x14:id>
        </ext>
      </extLst>
    </cfRule>
  </conditionalFormatting>
  <conditionalFormatting sqref="F80:F81 F74 F76">
    <cfRule type="dataBar" priority="2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{F465F3CF-FA40-4FEA-8F48-BD3F12A9539C}</x14:id>
        </ext>
      </extLst>
    </cfRule>
  </conditionalFormatting>
  <conditionalFormatting sqref="F58">
    <cfRule type="dataBar" priority="2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{71E0A4DE-C89F-49F7-8E85-9BAE71D8566A}</x14:id>
        </ext>
      </extLst>
    </cfRule>
  </conditionalFormatting>
  <conditionalFormatting sqref="F57">
    <cfRule type="dataBar" priority="2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{0E8E02A4-EB89-4545-819F-1EEB373DEFB9}</x14:id>
        </ext>
      </extLst>
    </cfRule>
  </conditionalFormatting>
  <conditionalFormatting sqref="G50:H52">
    <cfRule type="timePeriod" dxfId="3" priority="19" timePeriod="lastWeek">
      <formula>AND(TODAY()-ROUNDDOWN(G50,0)&gt;=(WEEKDAY(TODAY())),TODAY()-ROUNDDOWN(G50,0)&lt;(WEEKDAY(TODAY())+7))</formula>
    </cfRule>
  </conditionalFormatting>
  <conditionalFormatting sqref="G62:H64">
    <cfRule type="timePeriod" dxfId="2" priority="18" timePeriod="lastWeek">
      <formula>AND(TODAY()-ROUNDDOWN(G62,0)&gt;=(WEEKDAY(TODAY())),TODAY()-ROUNDDOWN(G62,0)&lt;(WEEKDAY(TODAY())+7))</formula>
    </cfRule>
  </conditionalFormatting>
  <conditionalFormatting sqref="F78">
    <cfRule type="dataBar" priority="1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{6A2F3152-FD0A-4FDC-B443-26D9A2DF9972}</x14:id>
        </ext>
      </extLst>
    </cfRule>
  </conditionalFormatting>
  <conditionalFormatting sqref="F79">
    <cfRule type="dataBar" priority="1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{3714D18E-DE54-4514-92D0-3E2CDCB4A03F}</x14:id>
        </ext>
      </extLst>
    </cfRule>
  </conditionalFormatting>
  <conditionalFormatting sqref="F77">
    <cfRule type="dataBar" priority="1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{AE3B879C-E455-4E40-B2DD-A6DB0C058E7F}</x14:id>
        </ext>
      </extLst>
    </cfRule>
  </conditionalFormatting>
  <conditionalFormatting sqref="F75">
    <cfRule type="dataBar" priority="1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{41FFEF7E-D372-40E3-802D-EA83D9691BEF}</x14:id>
        </ext>
      </extLst>
    </cfRule>
  </conditionalFormatting>
  <conditionalFormatting sqref="F22">
    <cfRule type="dataBar" priority="1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{7AE64E03-7BDC-4B48-AE4D-8633003BB681}</x14:id>
        </ext>
      </extLst>
    </cfRule>
  </conditionalFormatting>
  <conditionalFormatting sqref="F47:F48 F41:F43">
    <cfRule type="dataBar" priority="1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{6047C656-847C-411C-9677-EE158B588686}</x14:id>
        </ext>
      </extLst>
    </cfRule>
  </conditionalFormatting>
  <conditionalFormatting sqref="F44:F46">
    <cfRule type="dataBar" priority="1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{75F984EF-C9DB-42C0-B7B5-08F004857B2E}</x14:id>
        </ext>
      </extLst>
    </cfRule>
  </conditionalFormatting>
  <conditionalFormatting sqref="K7:FV81">
    <cfRule type="expression" dxfId="1" priority="112">
      <formula>AND(task_start&lt;=K$5,ROUNDDOWN((task_end-task_start+1)*task_progress,0)+task_start-1&gt;=K$5)</formula>
    </cfRule>
    <cfRule type="expression" dxfId="0" priority="113" stopIfTrue="1">
      <formula>AND(task_end&gt;=K$5,task_start&lt;K$5+1)</formula>
    </cfRule>
  </conditionalFormatting>
  <conditionalFormatting sqref="F16">
    <cfRule type="dataBar" priority="10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{B455E83D-E605-4D95-8AA3-46CA2E929388}</x14:id>
        </ext>
      </extLst>
    </cfRule>
  </conditionalFormatting>
  <conditionalFormatting sqref="F20">
    <cfRule type="dataBar" priority="9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{44150C6C-FED9-4EF4-83CF-254BA5AF7D0B}</x14:id>
        </ext>
      </extLst>
    </cfRule>
  </conditionalFormatting>
  <conditionalFormatting sqref="F25">
    <cfRule type="dataBar" priority="8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{78695427-C1D5-4B9F-BBFD-87A857A706D2}</x14:id>
        </ext>
      </extLst>
    </cfRule>
  </conditionalFormatting>
  <conditionalFormatting sqref="F31">
    <cfRule type="dataBar" priority="7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{F26B1ADB-5FDA-4919-9899-AB75978D2135}</x14:id>
        </ext>
      </extLst>
    </cfRule>
  </conditionalFormatting>
  <conditionalFormatting sqref="F40">
    <cfRule type="dataBar" priority="6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{5A3AFE95-0423-4608-8B83-B721A6F0F4FF}</x14:id>
        </ext>
      </extLst>
    </cfRule>
  </conditionalFormatting>
  <conditionalFormatting sqref="F49">
    <cfRule type="dataBar" priority="5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{C5E100C0-8775-470C-9FD6-3502EFE706F6}</x14:id>
        </ext>
      </extLst>
    </cfRule>
  </conditionalFormatting>
  <conditionalFormatting sqref="F53">
    <cfRule type="dataBar" priority="4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{B8D350F6-C186-458D-AA5C-42EC5DE2CC23}</x14:id>
        </ext>
      </extLst>
    </cfRule>
  </conditionalFormatting>
  <conditionalFormatting sqref="F61">
    <cfRule type="dataBar" priority="3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{5275A435-A3BF-4EBE-9906-3368C364B1FA}</x14:id>
        </ext>
      </extLst>
    </cfRule>
  </conditionalFormatting>
  <conditionalFormatting sqref="F65">
    <cfRule type="dataBar" priority="2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{AC11CFDD-4B90-41A6-8E0A-723E77981572}</x14:id>
        </ext>
      </extLst>
    </cfRule>
  </conditionalFormatting>
  <conditionalFormatting sqref="F73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{D6EAC98E-944B-457E-A04C-B3194FD71CB0}</x14:id>
        </ext>
      </extLst>
    </cfRule>
  </conditionalFormatting>
  <dataValidations disablePrompts="1" count="1">
    <dataValidation type="whole" operator="greaterThanOrEqual" allowBlank="1" showInputMessage="1" promptTitle="Display Week" prompt="Changing this number will scroll the Gantt Chart view." sqref="G4" xr:uid="{00000000-0002-0000-0000-000000000000}">
      <formula1>1</formula1>
    </dataValidation>
  </dataValidations>
  <hyperlinks>
    <hyperlink ref="L1" r:id="rId1" xr:uid="{D983A040-A6B9-4587-B371-C4D8C5FF0694}"/>
  </hyperlinks>
  <pageMargins left="0.35" right="0.35" top="0.35" bottom="0.5" header="0.3" footer="0.3"/>
  <pageSetup scale="62" fitToHeight="0" orientation="landscape" r:id="rId2"/>
  <headerFooter scaleWithDoc="0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F7 F9 F17:F19 F38:F39 F23:F24 F21 F26:F30 F32:F34</xm:sqref>
        </x14:conditionalFormatting>
        <x14:conditionalFormatting xmlns:xm="http://schemas.microsoft.com/office/excel/2006/main">
          <x14:cfRule type="dataBar" id="{7D3B3AA3-50D5-4040-8A5D-345DED3AB6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F10</xm:sqref>
        </x14:conditionalFormatting>
        <x14:conditionalFormatting xmlns:xm="http://schemas.microsoft.com/office/excel/2006/main">
          <x14:cfRule type="dataBar" id="{FFBB7885-E59B-466D-BBEB-0EB287F165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F11</xm:sqref>
        </x14:conditionalFormatting>
        <x14:conditionalFormatting xmlns:xm="http://schemas.microsoft.com/office/excel/2006/main">
          <x14:cfRule type="dataBar" id="{7F8B654D-4E83-458D-81B1-B6CA2D1154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F13</xm:sqref>
        </x14:conditionalFormatting>
        <x14:conditionalFormatting xmlns:xm="http://schemas.microsoft.com/office/excel/2006/main">
          <x14:cfRule type="dataBar" id="{337642EB-36C0-4E6D-86E5-2DE451DBA3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F15</xm:sqref>
        </x14:conditionalFormatting>
        <x14:conditionalFormatting xmlns:xm="http://schemas.microsoft.com/office/excel/2006/main">
          <x14:cfRule type="dataBar" id="{A97D2D5B-B6C7-4830-B3B9-46FF77AFCB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F12</xm:sqref>
        </x14:conditionalFormatting>
        <x14:conditionalFormatting xmlns:xm="http://schemas.microsoft.com/office/excel/2006/main">
          <x14:cfRule type="dataBar" id="{83973793-C51D-43F6-AB5F-E75947A1A0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F14</xm:sqref>
        </x14:conditionalFormatting>
        <x14:conditionalFormatting xmlns:xm="http://schemas.microsoft.com/office/excel/2006/main">
          <x14:cfRule type="dataBar" id="{C1674383-76AC-40B7-9E14-ADD4874C0A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F8</xm:sqref>
        </x14:conditionalFormatting>
        <x14:conditionalFormatting xmlns:xm="http://schemas.microsoft.com/office/excel/2006/main">
          <x14:cfRule type="dataBar" id="{402437B6-2107-4459-B970-1EE3F73A6A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F35:F37</xm:sqref>
        </x14:conditionalFormatting>
        <x14:conditionalFormatting xmlns:xm="http://schemas.microsoft.com/office/excel/2006/main">
          <x14:cfRule type="dataBar" id="{2C670459-13D5-4840-9228-3ACEA12F55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F56</xm:sqref>
        </x14:conditionalFormatting>
        <x14:conditionalFormatting xmlns:xm="http://schemas.microsoft.com/office/excel/2006/main">
          <x14:cfRule type="dataBar" id="{C4B09FF5-0D7B-4EA2-8756-96C4B5903D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F50:F52</xm:sqref>
        </x14:conditionalFormatting>
        <x14:conditionalFormatting xmlns:xm="http://schemas.microsoft.com/office/excel/2006/main">
          <x14:cfRule type="dataBar" id="{A7D9A276-E3F2-4764-BF67-1CBEE0BD78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F54:F55 F59:F60</xm:sqref>
        </x14:conditionalFormatting>
        <x14:conditionalFormatting xmlns:xm="http://schemas.microsoft.com/office/excel/2006/main">
          <x14:cfRule type="dataBar" id="{FB7B44A5-0D91-4418-8DD7-304A321711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F62:F64</xm:sqref>
        </x14:conditionalFormatting>
        <x14:conditionalFormatting xmlns:xm="http://schemas.microsoft.com/office/excel/2006/main">
          <x14:cfRule type="dataBar" id="{649F8035-16CA-47DA-9747-298AEC1C33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F66:F72</xm:sqref>
        </x14:conditionalFormatting>
        <x14:conditionalFormatting xmlns:xm="http://schemas.microsoft.com/office/excel/2006/main">
          <x14:cfRule type="dataBar" id="{F465F3CF-FA40-4FEA-8F48-BD3F12A953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F80:F81 F74 F76</xm:sqref>
        </x14:conditionalFormatting>
        <x14:conditionalFormatting xmlns:xm="http://schemas.microsoft.com/office/excel/2006/main">
          <x14:cfRule type="dataBar" id="{71E0A4DE-C89F-49F7-8E85-9BAE71D8566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F58</xm:sqref>
        </x14:conditionalFormatting>
        <x14:conditionalFormatting xmlns:xm="http://schemas.microsoft.com/office/excel/2006/main">
          <x14:cfRule type="dataBar" id="{0E8E02A4-EB89-4545-819F-1EEB373DEF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F57</xm:sqref>
        </x14:conditionalFormatting>
        <x14:conditionalFormatting xmlns:xm="http://schemas.microsoft.com/office/excel/2006/main">
          <x14:cfRule type="dataBar" id="{6A2F3152-FD0A-4FDC-B443-26D9A2DF99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F78</xm:sqref>
        </x14:conditionalFormatting>
        <x14:conditionalFormatting xmlns:xm="http://schemas.microsoft.com/office/excel/2006/main">
          <x14:cfRule type="dataBar" id="{3714D18E-DE54-4514-92D0-3E2CDCB4A03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F79</xm:sqref>
        </x14:conditionalFormatting>
        <x14:conditionalFormatting xmlns:xm="http://schemas.microsoft.com/office/excel/2006/main">
          <x14:cfRule type="dataBar" id="{AE3B879C-E455-4E40-B2DD-A6DB0C058E7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F77</xm:sqref>
        </x14:conditionalFormatting>
        <x14:conditionalFormatting xmlns:xm="http://schemas.microsoft.com/office/excel/2006/main">
          <x14:cfRule type="dataBar" id="{41FFEF7E-D372-40E3-802D-EA83D9691B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F75</xm:sqref>
        </x14:conditionalFormatting>
        <x14:conditionalFormatting xmlns:xm="http://schemas.microsoft.com/office/excel/2006/main">
          <x14:cfRule type="dataBar" id="{7AE64E03-7BDC-4B48-AE4D-8633003BB6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6047C656-847C-411C-9677-EE158B5886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F47:F48 F41:F43</xm:sqref>
        </x14:conditionalFormatting>
        <x14:conditionalFormatting xmlns:xm="http://schemas.microsoft.com/office/excel/2006/main">
          <x14:cfRule type="dataBar" id="{75F984EF-C9DB-42C0-B7B5-08F004857B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F44:F46</xm:sqref>
        </x14:conditionalFormatting>
        <x14:conditionalFormatting xmlns:xm="http://schemas.microsoft.com/office/excel/2006/main">
          <x14:cfRule type="dataBar" id="{B455E83D-E605-4D95-8AA3-46CA2E9293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F16</xm:sqref>
        </x14:conditionalFormatting>
        <x14:conditionalFormatting xmlns:xm="http://schemas.microsoft.com/office/excel/2006/main">
          <x14:cfRule type="dataBar" id="{44150C6C-FED9-4EF4-83CF-254BA5AF7D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78695427-C1D5-4B9F-BBFD-87A857A706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F25</xm:sqref>
        </x14:conditionalFormatting>
        <x14:conditionalFormatting xmlns:xm="http://schemas.microsoft.com/office/excel/2006/main">
          <x14:cfRule type="dataBar" id="{F26B1ADB-5FDA-4919-9899-AB75978D21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F31</xm:sqref>
        </x14:conditionalFormatting>
        <x14:conditionalFormatting xmlns:xm="http://schemas.microsoft.com/office/excel/2006/main">
          <x14:cfRule type="dataBar" id="{5A3AFE95-0423-4608-8B83-B721A6F0F4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F40</xm:sqref>
        </x14:conditionalFormatting>
        <x14:conditionalFormatting xmlns:xm="http://schemas.microsoft.com/office/excel/2006/main">
          <x14:cfRule type="dataBar" id="{C5E100C0-8775-470C-9FD6-3502EFE706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F49</xm:sqref>
        </x14:conditionalFormatting>
        <x14:conditionalFormatting xmlns:xm="http://schemas.microsoft.com/office/excel/2006/main">
          <x14:cfRule type="dataBar" id="{B8D350F6-C186-458D-AA5C-42EC5DE2CC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F53</xm:sqref>
        </x14:conditionalFormatting>
        <x14:conditionalFormatting xmlns:xm="http://schemas.microsoft.com/office/excel/2006/main">
          <x14:cfRule type="dataBar" id="{5275A435-A3BF-4EBE-9906-3368C364B1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F61</xm:sqref>
        </x14:conditionalFormatting>
        <x14:conditionalFormatting xmlns:xm="http://schemas.microsoft.com/office/excel/2006/main">
          <x14:cfRule type="dataBar" id="{AC11CFDD-4B90-41A6-8E0A-723E779815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F65</xm:sqref>
        </x14:conditionalFormatting>
        <x14:conditionalFormatting xmlns:xm="http://schemas.microsoft.com/office/excel/2006/main">
          <x14:cfRule type="dataBar" id="{D6EAC98E-944B-457E-A04C-B3194FD71C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F73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710FE4AEB4C04AA560664C94595FC6" ma:contentTypeVersion="10" ma:contentTypeDescription="Create a new document." ma:contentTypeScope="" ma:versionID="6c34ad2fed489b962dd3edf60c140f2f">
  <xsd:schema xmlns:xsd="http://www.w3.org/2001/XMLSchema" xmlns:xs="http://www.w3.org/2001/XMLSchema" xmlns:p="http://schemas.microsoft.com/office/2006/metadata/properties" xmlns:ns2="2fead325-a9ee-4230-a869-50c45b854c3e" xmlns:ns3="d91f321f-d38a-4a55-b388-ccb9d37becf0" targetNamespace="http://schemas.microsoft.com/office/2006/metadata/properties" ma:root="true" ma:fieldsID="5d41156d9c066f0b38a89f0113e99fed" ns2:_="" ns3:_="">
    <xsd:import namespace="2fead325-a9ee-4230-a869-50c45b854c3e"/>
    <xsd:import namespace="d91f321f-d38a-4a55-b388-ccb9d37bec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ad325-a9ee-4230-a869-50c45b854c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f321f-d38a-4a55-b388-ccb9d37becf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F06008-FB84-4263-8DCC-F580C7E4F888}"/>
</file>

<file path=customXml/itemProps2.xml><?xml version="1.0" encoding="utf-8"?>
<ds:datastoreItem xmlns:ds="http://schemas.openxmlformats.org/officeDocument/2006/customXml" ds:itemID="{E21F9434-10AF-4FFA-BA27-2D8F6E6A2922}"/>
</file>

<file path=customXml/itemProps3.xml><?xml version="1.0" encoding="utf-8"?>
<ds:datastoreItem xmlns:ds="http://schemas.openxmlformats.org/officeDocument/2006/customXml" ds:itemID="{AA3970A8-5532-44F7-818E-4E0E5FF476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Simple Gantt Chart</dc:title>
  <dc:subject/>
  <dc:creator>Vertex42.com</dc:creator>
  <cp:keywords/>
  <dc:description>© 2018-2019 Vertex42 LLC. All Rights Reserved.</dc:description>
  <cp:lastModifiedBy>mariia.melnychenko.shi.2022</cp:lastModifiedBy>
  <cp:revision/>
  <dcterms:created xsi:type="dcterms:W3CDTF">2017-01-09T18:01:51Z</dcterms:created>
  <dcterms:modified xsi:type="dcterms:W3CDTF">2024-04-24T16:14:23Z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https://www.vertex42.com/</vt:lpwstr>
  </property>
  <property fmtid="{D5CDD505-2E9C-101B-9397-08002B2CF9AE}" pid="3" name="Copyright">
    <vt:lpwstr>© 2019 Vertex42 LLC</vt:lpwstr>
  </property>
  <property fmtid="{D5CDD505-2E9C-101B-9397-08002B2CF9AE}" pid="4" name="Version">
    <vt:lpwstr>1.0.1</vt:lpwstr>
  </property>
  <property fmtid="{D5CDD505-2E9C-101B-9397-08002B2CF9AE}" pid="5" name="ContentTypeId">
    <vt:lpwstr>0x010100EA710FE4AEB4C04AA560664C94595FC6</vt:lpwstr>
  </property>
  <property fmtid="{D5CDD505-2E9C-101B-9397-08002B2CF9AE}" pid="6" name="MSIP_Label_2a535040-0af2-483f-adc3-a132c21e3e2b_Enabled">
    <vt:lpwstr>true</vt:lpwstr>
  </property>
  <property fmtid="{D5CDD505-2E9C-101B-9397-08002B2CF9AE}" pid="7" name="MSIP_Label_2a535040-0af2-483f-adc3-a132c21e3e2b_SetDate">
    <vt:lpwstr>2022-10-26T07:58:36Z</vt:lpwstr>
  </property>
  <property fmtid="{D5CDD505-2E9C-101B-9397-08002B2CF9AE}" pid="8" name="MSIP_Label_2a535040-0af2-483f-adc3-a132c21e3e2b_Method">
    <vt:lpwstr>Standard</vt:lpwstr>
  </property>
  <property fmtid="{D5CDD505-2E9C-101B-9397-08002B2CF9AE}" pid="9" name="MSIP_Label_2a535040-0af2-483f-adc3-a132c21e3e2b_Name">
    <vt:lpwstr>EPAM_Confidential</vt:lpwstr>
  </property>
  <property fmtid="{D5CDD505-2E9C-101B-9397-08002B2CF9AE}" pid="10" name="MSIP_Label_2a535040-0af2-483f-adc3-a132c21e3e2b_SiteId">
    <vt:lpwstr>b41b72d0-4e9f-4c26-8a69-f949f367c91d</vt:lpwstr>
  </property>
  <property fmtid="{D5CDD505-2E9C-101B-9397-08002B2CF9AE}" pid="11" name="MSIP_Label_2a535040-0af2-483f-adc3-a132c21e3e2b_ActionId">
    <vt:lpwstr>3c125619-8d66-4cc5-bf4e-bf796baa5fb3</vt:lpwstr>
  </property>
  <property fmtid="{D5CDD505-2E9C-101B-9397-08002B2CF9AE}" pid="12" name="MSIP_Label_2a535040-0af2-483f-adc3-a132c21e3e2b_ContentBits">
    <vt:lpwstr>0</vt:lpwstr>
  </property>
  <property fmtid="{D5CDD505-2E9C-101B-9397-08002B2CF9AE}" pid="13" name="Order">
    <vt:r8>10400</vt:r8>
  </property>
  <property fmtid="{D5CDD505-2E9C-101B-9397-08002B2CF9AE}" pid="14" name="xd_Signature">
    <vt:bool>false</vt:bool>
  </property>
  <property fmtid="{D5CDD505-2E9C-101B-9397-08002B2CF9AE}" pid="15" name="xd_ProgID">
    <vt:lpwstr/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_ColorHex">
    <vt:lpwstr/>
  </property>
  <property fmtid="{D5CDD505-2E9C-101B-9397-08002B2CF9AE}" pid="19" name="_Emoji">
    <vt:lpwstr/>
  </property>
  <property fmtid="{D5CDD505-2E9C-101B-9397-08002B2CF9AE}" pid="20" name="ComplianceAssetId">
    <vt:lpwstr/>
  </property>
  <property fmtid="{D5CDD505-2E9C-101B-9397-08002B2CF9AE}" pid="21" name="TemplateUrl">
    <vt:lpwstr/>
  </property>
  <property fmtid="{D5CDD505-2E9C-101B-9397-08002B2CF9AE}" pid="22" name="_ExtendedDescription">
    <vt:lpwstr/>
  </property>
  <property fmtid="{D5CDD505-2E9C-101B-9397-08002B2CF9AE}" pid="23" name="_ColorTag">
    <vt:lpwstr/>
  </property>
  <property fmtid="{D5CDD505-2E9C-101B-9397-08002B2CF9AE}" pid="24" name="TriggerFlowInfo">
    <vt:lpwstr/>
  </property>
  <property fmtid="{D5CDD505-2E9C-101B-9397-08002B2CF9AE}" pid="25" name="MediaServiceImageTags">
    <vt:lpwstr/>
  </property>
</Properties>
</file>