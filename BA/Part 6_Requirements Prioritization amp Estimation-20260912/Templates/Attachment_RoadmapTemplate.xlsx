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https://epam-my.sharepoint.com/personal/igor_kulyk_epam_com/Documents/KnowledgeBase/2020.11.26_BaLab4_BRD_Roadmap_Workshop(presentation)_IgorKulykAnzhela/"/>
    </mc:Choice>
  </mc:AlternateContent>
  <xr:revisionPtr revIDLastSave="53" documentId="8_{001B7441-F28A-4C3C-91F1-70B63F7A9BEB}" xr6:coauthVersionLast="45" xr6:coauthVersionMax="45" xr10:uidLastSave="{BF0AC636-C092-4873-B4EE-522E05C22AA2}"/>
  <bookViews>
    <workbookView xWindow="-120" yWindow="-120" windowWidth="29040" windowHeight="15840" tabRatio="613" firstSheet="1" activeTab="1" xr2:uid="{00000000-000D-0000-FFFF-FFFF00000000}"/>
  </bookViews>
  <sheets>
    <sheet name="Action Items" sheetId="25" state="hidden" r:id="rId1"/>
    <sheet name="Schedule" sheetId="24" r:id="rId2"/>
    <sheet name="OVA Links" sheetId="20" state="hidden" r:id="rId3"/>
  </sheets>
  <externalReferences>
    <externalReference r:id="rId4"/>
  </externalReferences>
  <definedNames>
    <definedName name="CalendarYear">[1]JAN!$B$2</definedName>
    <definedName name="DaysAndWeeks">{0,1,2,3,4,5,6} + {0;1;2;3;4;5}*7</definedName>
    <definedName name="delayed" localSheetId="1">Schedule!#REF!</definedName>
    <definedName name="priorities">OFFSET(#REF!,1,0,MATCH(REPT("z",255),#REF!),1)</definedName>
    <definedName name="status">OFFSET(#REF!,1,0,MATCH(REPT("z",255),#REF!),1)</definedName>
    <definedName name="upcoming" localSheetId="1">Schedule!#REF!</definedName>
    <definedName name="WeekStart">[1]JAN!$C$1</definedName>
    <definedName name="WeekStartValue">IF(WeekStart="Monday",2,1)</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5" i="25" l="1"/>
  <c r="A16" i="25" s="1"/>
  <c r="A17" i="25" s="1"/>
  <c r="A18" i="25" s="1"/>
  <c r="A19" i="25" s="1"/>
  <c r="A20" i="25" s="1"/>
  <c r="A21" i="25" s="1"/>
  <c r="A22" i="25" s="1"/>
  <c r="A23" i="25" s="1"/>
  <c r="A24" i="25" s="1"/>
  <c r="A25" i="25" s="1"/>
  <c r="A26" i="25" s="1"/>
  <c r="A27" i="25" s="1"/>
  <c r="A28" i="25" s="1"/>
  <c r="A29" i="25" s="1"/>
  <c r="A30" i="25" s="1"/>
  <c r="A31" i="25" s="1"/>
  <c r="A32" i="25" s="1"/>
  <c r="A33" i="25" s="1"/>
  <c r="A34" i="25" s="1"/>
  <c r="A35" i="25" s="1"/>
  <c r="A36" i="25" s="1"/>
  <c r="A37" i="25" s="1"/>
  <c r="A38" i="25" s="1"/>
  <c r="A39" i="25" s="1"/>
  <c r="A40" i="25" s="1"/>
  <c r="A41" i="25" s="1"/>
  <c r="A42" i="25" s="1"/>
  <c r="A43" i="25" s="1"/>
  <c r="A44" i="25" s="1"/>
  <c r="A45" i="25" s="1"/>
  <c r="A46" i="25" s="1"/>
  <c r="A47" i="25" s="1"/>
  <c r="A48" i="25" s="1"/>
  <c r="A49" i="25" s="1"/>
  <c r="A50" i="25" s="1"/>
  <c r="A51" i="25" s="1"/>
  <c r="A52" i="25" s="1"/>
  <c r="A53" i="25" s="1"/>
  <c r="A54" i="25" s="1"/>
  <c r="A55" i="25" s="1"/>
  <c r="F9" i="25"/>
  <c r="E9" i="25"/>
  <c r="D9" i="25"/>
  <c r="F8" i="25"/>
  <c r="E8" i="25"/>
  <c r="D8" i="25"/>
  <c r="F7" i="25"/>
  <c r="E7" i="25"/>
  <c r="D7" i="25"/>
  <c r="G7" i="25" s="1"/>
  <c r="F6" i="25"/>
  <c r="F10" i="25" s="1"/>
  <c r="E6" i="25"/>
  <c r="E10" i="25" s="1"/>
  <c r="D6" i="25"/>
  <c r="G6" i="25" s="1"/>
  <c r="G8" i="25" l="1"/>
  <c r="G10" i="25" s="1"/>
  <c r="G9" i="25"/>
  <c r="D10" i="25"/>
  <c r="E11" i="25" l="1"/>
  <c r="H6" i="25"/>
  <c r="F11" i="25"/>
  <c r="H7" i="25"/>
  <c r="D11" i="25"/>
  <c r="H8" i="25"/>
  <c r="H9"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Tiffany Jansen</author>
  </authors>
  <commentList>
    <comment ref="DN7" authorId="0" shapeId="0" xr:uid="{53CB01FD-8BA5-43DA-B454-49E80F455453}">
      <text>
        <r>
          <rPr>
            <b/>
            <sz val="9"/>
            <color indexed="81"/>
            <rFont val="Tahoma"/>
            <family val="2"/>
          </rPr>
          <t>Tiffany Jansen:</t>
        </r>
        <r>
          <rPr>
            <sz val="9"/>
            <color indexed="81"/>
            <rFont val="Tahoma"/>
            <family val="2"/>
          </rPr>
          <t xml:space="preserve">
Polaris web service
Ability to cache metadata (ANI, Agent ID, UCID)
Invoking CTS web service to send metadata (User ID, Member ID, etc, to CTS db)
Trigger event for pulling metadata into Polaris record</t>
        </r>
      </text>
    </comment>
  </commentList>
</comments>
</file>

<file path=xl/sharedStrings.xml><?xml version="1.0" encoding="utf-8"?>
<sst xmlns="http://schemas.openxmlformats.org/spreadsheetml/2006/main" count="99" uniqueCount="86">
  <si>
    <t>Custom Development</t>
  </si>
  <si>
    <t>Customer</t>
  </si>
  <si>
    <t>Status</t>
  </si>
  <si>
    <t>Project Kickoff Meeting</t>
  </si>
  <si>
    <t>Initial Project Plan Delivery</t>
  </si>
  <si>
    <t xml:space="preserve">Complete Client Environment Pre-Requisites                                                                                                                   </t>
  </si>
  <si>
    <t>Elite Configuration</t>
  </si>
  <si>
    <r>
      <t xml:space="preserve">Project Closeout                                                                                                                                 </t>
    </r>
    <r>
      <rPr>
        <b/>
        <i/>
        <sz val="14"/>
        <color rgb="FF000000"/>
        <rFont val="Calibri"/>
        <family val="2"/>
        <scheme val="minor"/>
      </rPr>
      <t xml:space="preserve">
</t>
    </r>
  </si>
  <si>
    <t>Engagement Manager:</t>
  </si>
  <si>
    <t>Tiffany Jansen</t>
  </si>
  <si>
    <t>Last Update:</t>
  </si>
  <si>
    <t>High</t>
  </si>
  <si>
    <t>Medium</t>
  </si>
  <si>
    <t>Low</t>
  </si>
  <si>
    <t>Total</t>
  </si>
  <si>
    <t>% Of Total</t>
  </si>
  <si>
    <t>Complete</t>
  </si>
  <si>
    <t>In Progress</t>
  </si>
  <si>
    <t>Behind</t>
  </si>
  <si>
    <t>Not Started</t>
  </si>
  <si>
    <t>ID</t>
  </si>
  <si>
    <t>Description</t>
  </si>
  <si>
    <t>Comments</t>
  </si>
  <si>
    <t>Priority</t>
  </si>
  <si>
    <t>Due Date</t>
  </si>
  <si>
    <t>Cmpl Date</t>
  </si>
  <si>
    <t>Owner</t>
  </si>
  <si>
    <t>ALL</t>
  </si>
  <si>
    <t>C1</t>
  </si>
  <si>
    <t>Resource Planning</t>
  </si>
  <si>
    <t>Tif</t>
  </si>
  <si>
    <t>Requirements/Design</t>
  </si>
  <si>
    <t>Author BRD</t>
  </si>
  <si>
    <t>Deliver BRD</t>
  </si>
  <si>
    <t>Approve BRD</t>
  </si>
  <si>
    <t>Dev</t>
  </si>
  <si>
    <t>Customer dev</t>
  </si>
  <si>
    <t>Build and Integrate</t>
  </si>
  <si>
    <t>Build/Integrate</t>
  </si>
  <si>
    <t>Implement Design</t>
  </si>
  <si>
    <t>Demo/UAT Handoff</t>
  </si>
  <si>
    <t>UAT/Training prep</t>
  </si>
  <si>
    <t>UAT / Training Prep</t>
  </si>
  <si>
    <t>Training Prep</t>
  </si>
  <si>
    <t>UAT</t>
  </si>
  <si>
    <t>UAT approve</t>
  </si>
  <si>
    <t>Knowledge Transfer</t>
  </si>
  <si>
    <t>Agent</t>
  </si>
  <si>
    <t>Go-Live Prep</t>
  </si>
  <si>
    <t>Go Live Prep</t>
  </si>
  <si>
    <t>Go/No</t>
  </si>
  <si>
    <t>Post Go-Live Support</t>
  </si>
  <si>
    <t>Updated as of 12/12/17</t>
  </si>
  <si>
    <t>VMWare 5.5 - CT Comm Server SIP (for ESX 5.5).ova</t>
  </si>
  <si>
    <t>https://www.dropbox.com/s/ekrn2ptntfh6lpi/CT%20Comm%20Server%20SIP%20%28for%20ESX%205.5%29.ova?dl=0</t>
  </si>
  <si>
    <t>VMWare 6.0 - CT Comm Server SIP.ova</t>
  </si>
  <si>
    <t>https://www.dropbox.com/s/9si726wlodv119i/CT%20Comm%20Server%20SIP.ova?dl=0</t>
  </si>
  <si>
    <t>CT Suite - Deploy CT Comm OVA.pdf</t>
  </si>
  <si>
    <t>https://www.dropbox.com/s/evqcju5do8mkhfp/CT%20Suite%20-%20Deploy%20CT%20Comm%20OVA.pdf?dl=0</t>
  </si>
  <si>
    <t>Mark H</t>
  </si>
  <si>
    <t xml:space="preserve">Business Requirements Design (BRD) - Phase 1
</t>
  </si>
  <si>
    <t>Business Requirements Design (BRD) - Phase 1  Signoff</t>
  </si>
  <si>
    <t>Coding - Phase 1</t>
  </si>
  <si>
    <t>Solution Demo based on BRD - Phase 1</t>
  </si>
  <si>
    <t>UAT Acceptance - Phase 1</t>
  </si>
  <si>
    <t>Training Phase 1</t>
  </si>
  <si>
    <t>Go-Live Phase 1</t>
  </si>
  <si>
    <t xml:space="preserve">Business Requirements Design (BRD) - Phase 2
</t>
  </si>
  <si>
    <t>Business Requirements Design (BRD) - Phase 2 Signoff</t>
  </si>
  <si>
    <t>Coding - Phase 2</t>
  </si>
  <si>
    <t>Solution Demo based on BRD - Phase 2</t>
  </si>
  <si>
    <t>UAT Acceptance - Phase 2</t>
  </si>
  <si>
    <t>Training Phase 2</t>
  </si>
  <si>
    <t>Go-Live Phase 2</t>
  </si>
  <si>
    <t>Dan PTO</t>
  </si>
  <si>
    <t>Build Story</t>
  </si>
  <si>
    <t>Awareness</t>
  </si>
  <si>
    <t>Dev Testing</t>
  </si>
  <si>
    <t>Customer dev testing</t>
  </si>
  <si>
    <t>CT</t>
  </si>
  <si>
    <t>Platform Integration</t>
  </si>
  <si>
    <t>Requirements Gathering / Design - Platform Integration and reports</t>
  </si>
  <si>
    <t>UAT and issue resolution - Platform integration</t>
  </si>
  <si>
    <t>User Training - Platform integration</t>
  </si>
  <si>
    <t>Go-Live - Platform integration</t>
  </si>
  <si>
    <t>TechLead PTO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</si>
</sst>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7" formatCode="[$-409]d\-mmm\-yy;@"/>
    <numFmt numFmtId="168" formatCode="[$-F800]dddd\,\ mmmm\ dd\,\ yyyy"/>
    <numFmt numFmtId="169" formatCode="m/d;@"/>
  </numFmts>
  <fonts count="30" x14ac:knownFonts="1">
    <font>
      <sz val="11"/>
      <color theme="1"/>
      <name val="Calibri"/>
      <family val="2"/>
      <scheme val="minor"/>
    </font>
    <font>
      <b/>
      <sz val="11"/>
      <color theme="1"/>
      <name val="Calibri"/>
      <family val="2"/>
      <scheme val="minor"/>
    </font>
    <font>
      <u/>
      <sz val="11"/>
      <color theme="10"/>
      <name val="Calibri"/>
      <family val="2"/>
    </font>
    <font>
      <sz val="10"/>
      <name val="Segoe UI"/>
      <family val="2"/>
    </font>
    <font>
      <sz val="8"/>
      <color theme="1"/>
      <name val="Segoe UI"/>
      <family val="2"/>
    </font>
    <font>
      <sz val="10"/>
      <name val="Arial"/>
      <family val="2"/>
    </font>
    <font>
      <sz val="10"/>
      <color theme="1"/>
      <name val="Calibri"/>
      <family val="2"/>
    </font>
    <font>
      <sz val="12"/>
      <color theme="1"/>
      <name val="Calibri"/>
      <family val="2"/>
      <scheme val="minor"/>
    </font>
    <font>
      <sz val="11"/>
      <color rgb="FF9C6500"/>
      <name val="Calibri"/>
      <family val="2"/>
      <scheme val="minor"/>
    </font>
    <font>
      <b/>
      <sz val="9"/>
      <color indexed="81"/>
      <name val="Tahoma"/>
      <family val="2"/>
    </font>
    <font>
      <sz val="9"/>
      <color indexed="81"/>
      <name val="Tahoma"/>
      <family val="2"/>
    </font>
    <font>
      <u/>
      <sz val="11"/>
      <color theme="10"/>
      <name val="Calibri"/>
      <family val="2"/>
      <scheme val="minor"/>
    </font>
    <font>
      <sz val="11"/>
      <color theme="1"/>
      <name val="Calibri"/>
      <family val="2"/>
      <scheme val="minor"/>
    </font>
    <font>
      <sz val="11"/>
      <color rgb="FF000000"/>
      <name val="Calibri"/>
      <family val="2"/>
    </font>
    <font>
      <b/>
      <sz val="14"/>
      <name val="Calibri"/>
      <family val="2"/>
      <scheme val="minor"/>
    </font>
    <font>
      <b/>
      <sz val="14"/>
      <color rgb="FF000000"/>
      <name val="Calibri"/>
      <family val="2"/>
      <scheme val="minor"/>
    </font>
    <font>
      <sz val="9"/>
      <color theme="1"/>
      <name val="Calibri"/>
      <family val="2"/>
      <scheme val="minor"/>
    </font>
    <font>
      <b/>
      <i/>
      <sz val="14"/>
      <color rgb="FF000000"/>
      <name val="Calibri"/>
      <family val="2"/>
      <scheme val="minor"/>
    </font>
    <font>
      <sz val="9"/>
      <name val="Calibri"/>
      <family val="2"/>
      <scheme val="minor"/>
    </font>
    <font>
      <b/>
      <sz val="8"/>
      <color rgb="FFFF0000"/>
      <name val="Segoe UI"/>
      <family val="2"/>
    </font>
    <font>
      <b/>
      <sz val="8"/>
      <color theme="7" tint="-0.499984740745262"/>
      <name val="Segoe UI"/>
      <family val="2"/>
    </font>
    <font>
      <b/>
      <sz val="8"/>
      <color theme="9" tint="-0.499984740745262"/>
      <name val="Segoe UI"/>
      <family val="2"/>
    </font>
    <font>
      <b/>
      <sz val="8"/>
      <color theme="1"/>
      <name val="Segoe UI"/>
      <family val="2"/>
    </font>
    <font>
      <b/>
      <sz val="8"/>
      <name val="Segoe UI"/>
      <family val="2"/>
    </font>
    <font>
      <b/>
      <sz val="8"/>
      <color rgb="FF002060"/>
      <name val="Segoe UI"/>
      <family val="2"/>
    </font>
    <font>
      <b/>
      <sz val="8"/>
      <color theme="1" tint="0.34998626667073579"/>
      <name val="Segoe UI"/>
      <family val="2"/>
    </font>
    <font>
      <sz val="8"/>
      <name val="Segoe UI"/>
      <family val="2"/>
    </font>
    <font>
      <b/>
      <sz val="8"/>
      <color theme="0" tint="-4.9989318521683403E-2"/>
      <name val="Segoe UI"/>
      <family val="2"/>
    </font>
    <font>
      <sz val="10"/>
      <name val="Segoe UI"/>
      <family val="2"/>
    </font>
    <font>
      <sz val="10"/>
      <color theme="1" tint="4.9989318521683403E-2"/>
      <name val="Calibri"/>
      <family val="2"/>
      <scheme val="minor"/>
    </font>
  </fonts>
  <fills count="23">
    <fill>
      <patternFill patternType="none"/>
    </fill>
    <fill>
      <patternFill patternType="gray125"/>
    </fill>
    <fill>
      <patternFill patternType="solid">
        <fgColor rgb="FFFFEB9C"/>
      </patternFill>
    </fill>
    <fill>
      <patternFill patternType="solid">
        <fgColor theme="0"/>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99"/>
        <bgColor indexed="64"/>
      </patternFill>
    </fill>
    <fill>
      <patternFill patternType="solid">
        <fgColor theme="7" tint="0.59999389629810485"/>
        <bgColor indexed="64"/>
      </patternFill>
    </fill>
    <fill>
      <patternFill patternType="solid">
        <fgColor theme="8" tint="0.39997558519241921"/>
        <bgColor indexed="64"/>
      </patternFill>
    </fill>
    <fill>
      <patternFill patternType="solid">
        <fgColor rgb="FFFFCCCC"/>
        <bgColor indexed="64"/>
      </patternFill>
    </fill>
    <fill>
      <patternFill patternType="solid">
        <fgColor theme="9" tint="0.59996337778862885"/>
        <bgColor indexed="64"/>
      </patternFill>
    </fill>
    <fill>
      <patternFill patternType="solid">
        <fgColor theme="4" tint="0.59996337778862885"/>
        <bgColor indexed="64"/>
      </patternFill>
    </fill>
    <fill>
      <patternFill patternType="solid">
        <fgColor theme="1" tint="0.249977111117893"/>
        <bgColor indexed="64"/>
      </patternFill>
    </fill>
    <fill>
      <patternFill patternType="solid">
        <fgColor theme="1" tint="0.14996795556505021"/>
        <bgColor auto="1"/>
      </patternFill>
    </fill>
    <fill>
      <patternFill patternType="solid">
        <fgColor rgb="FFFF9F9F"/>
        <bgColor indexed="64"/>
      </patternFill>
    </fill>
    <fill>
      <patternFill patternType="solid">
        <fgColor rgb="FFFFC1C1"/>
        <bgColor indexed="64"/>
      </patternFill>
    </fill>
  </fills>
  <borders count="15">
    <border>
      <left/>
      <right/>
      <top/>
      <bottom/>
      <diagonal/>
    </border>
    <border>
      <left/>
      <right style="thin">
        <color theme="1" tint="0.24994659260841701"/>
      </right>
      <top style="thin">
        <color theme="1" tint="0.24994659260841701"/>
      </top>
      <bottom style="thin">
        <color theme="1" tint="0.24994659260841701"/>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theme="0" tint="-0.14999847407452621"/>
      </top>
      <bottom style="thin">
        <color theme="0" tint="-0.14999847407452621"/>
      </bottom>
      <diagonal/>
    </border>
    <border>
      <left style="thin">
        <color rgb="FFFF0000"/>
      </left>
      <right/>
      <top style="thin">
        <color rgb="FFFF0000"/>
      </top>
      <bottom style="thin">
        <color rgb="FFFF0000"/>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theme="9" tint="-0.499984740745262"/>
      </left>
      <right style="thin">
        <color theme="9" tint="-0.499984740745262"/>
      </right>
      <top style="thin">
        <color theme="9" tint="-0.499984740745262"/>
      </top>
      <bottom/>
      <diagonal/>
    </border>
    <border>
      <left style="thin">
        <color theme="1" tint="0.24994659260841701"/>
      </left>
      <right style="thin">
        <color theme="1" tint="0.24994659260841701"/>
      </right>
      <top style="thin">
        <color theme="1" tint="0.24994659260841701"/>
      </top>
      <bottom style="thin">
        <color theme="1" tint="0.24994659260841701"/>
      </bottom>
      <diagonal/>
    </border>
    <border>
      <left style="thin">
        <color theme="4" tint="-0.499984740745262"/>
      </left>
      <right style="thin">
        <color theme="4" tint="-0.499984740745262"/>
      </right>
      <top style="thin">
        <color theme="4" tint="-0.499984740745262"/>
      </top>
      <bottom/>
      <diagonal/>
    </border>
    <border>
      <left style="thin">
        <color rgb="FFFF0000"/>
      </left>
      <right style="thin">
        <color rgb="FFFF0000"/>
      </right>
      <top style="thin">
        <color rgb="FFFF0000"/>
      </top>
      <bottom style="thin">
        <color rgb="FFFF0000"/>
      </bottom>
      <diagonal/>
    </border>
    <border>
      <left style="thin">
        <color theme="1" tint="0.24994659260841701"/>
      </left>
      <right style="thin">
        <color theme="1" tint="0.24994659260841701"/>
      </right>
      <top/>
      <bottom style="double">
        <color theme="1" tint="0.24994659260841701"/>
      </bottom>
      <diagonal/>
    </border>
    <border>
      <left style="thin">
        <color theme="1" tint="0.24994659260841701"/>
      </left>
      <right style="thin">
        <color theme="1" tint="0.24994659260841701"/>
      </right>
      <top style="thin">
        <color theme="1" tint="0.24994659260841701"/>
      </top>
      <bottom style="double">
        <color indexed="64"/>
      </bottom>
      <diagonal/>
    </border>
    <border>
      <left/>
      <right style="thin">
        <color theme="1" tint="0.24994659260841701"/>
      </right>
      <top style="thin">
        <color theme="1" tint="0.24994659260841701"/>
      </top>
      <bottom style="double">
        <color indexed="64"/>
      </bottom>
      <diagonal/>
    </border>
    <border>
      <left style="thin">
        <color theme="1" tint="0.24994659260841701"/>
      </left>
      <right style="thin">
        <color theme="1" tint="0.24994659260841701"/>
      </right>
      <top/>
      <bottom style="thin">
        <color theme="1" tint="0.24994659260841701"/>
      </bottom>
      <diagonal/>
    </border>
  </borders>
  <cellStyleXfs count="14">
    <xf numFmtId="0" fontId="0" fillId="0" borderId="0"/>
    <xf numFmtId="0" fontId="2" fillId="0" borderId="0" applyNumberFormat="0" applyFill="0" applyBorder="0" applyAlignment="0" applyProtection="0">
      <alignment vertical="top"/>
      <protection locked="0"/>
    </xf>
    <xf numFmtId="0" fontId="5" fillId="0" borderId="0"/>
    <xf numFmtId="10" fontId="5" fillId="0" borderId="0" applyFont="0" applyFill="0" applyBorder="0" applyAlignment="0" applyProtection="0"/>
    <xf numFmtId="0" fontId="6" fillId="0" borderId="0"/>
    <xf numFmtId="0" fontId="5" fillId="0" borderId="0"/>
    <xf numFmtId="0" fontId="5" fillId="0" borderId="0"/>
    <xf numFmtId="0" fontId="8" fillId="2" borderId="0" applyNumberFormat="0" applyBorder="0" applyAlignment="0" applyProtection="0"/>
    <xf numFmtId="0" fontId="2" fillId="0" borderId="0" applyNumberFormat="0" applyFill="0" applyBorder="0" applyAlignment="0" applyProtection="0">
      <alignment vertical="top"/>
      <protection locked="0"/>
    </xf>
    <xf numFmtId="0" fontId="11" fillId="0" borderId="0" applyNumberFormat="0" applyFill="0" applyBorder="0" applyAlignment="0" applyProtection="0"/>
    <xf numFmtId="0" fontId="7" fillId="0" borderId="0"/>
    <xf numFmtId="0" fontId="7" fillId="0" borderId="0"/>
    <xf numFmtId="0" fontId="13" fillId="0" borderId="0"/>
    <xf numFmtId="9" fontId="12" fillId="0" borderId="0" applyFont="0" applyFill="0" applyBorder="0" applyAlignment="0" applyProtection="0"/>
  </cellStyleXfs>
  <cellXfs count="71">
    <xf numFmtId="0" fontId="0" fillId="0" borderId="0" xfId="0"/>
    <xf numFmtId="0" fontId="2" fillId="0" borderId="0" xfId="1" applyAlignment="1" applyProtection="1">
      <alignment vertical="center"/>
    </xf>
    <xf numFmtId="0" fontId="2" fillId="0" borderId="0" xfId="1" applyAlignment="1" applyProtection="1"/>
    <xf numFmtId="0" fontId="0" fillId="5" borderId="0" xfId="0" applyFill="1"/>
    <xf numFmtId="0" fontId="0" fillId="10" borderId="0" xfId="0" applyFill="1" applyAlignment="1">
      <alignment horizontal="center"/>
    </xf>
    <xf numFmtId="169" fontId="16" fillId="0" borderId="0" xfId="0" applyNumberFormat="1" applyFont="1" applyAlignment="1">
      <alignment horizontal="center"/>
    </xf>
    <xf numFmtId="169" fontId="16" fillId="6" borderId="0" xfId="0" applyNumberFormat="1" applyFont="1" applyFill="1" applyAlignment="1">
      <alignment horizontal="center"/>
    </xf>
    <xf numFmtId="0" fontId="0" fillId="9" borderId="0" xfId="0" applyFill="1" applyAlignment="1">
      <alignment horizontal="center"/>
    </xf>
    <xf numFmtId="0" fontId="0" fillId="15" borderId="0" xfId="0" applyFill="1" applyAlignment="1">
      <alignment horizontal="center"/>
    </xf>
    <xf numFmtId="169" fontId="16" fillId="0" borderId="0" xfId="0" applyNumberFormat="1" applyFont="1"/>
    <xf numFmtId="169" fontId="16" fillId="6" borderId="0" xfId="0" applyNumberFormat="1" applyFont="1" applyFill="1"/>
    <xf numFmtId="0" fontId="16" fillId="0" borderId="0" xfId="0" applyFont="1"/>
    <xf numFmtId="0" fontId="16" fillId="6" borderId="0" xfId="0" applyFont="1" applyFill="1"/>
    <xf numFmtId="0" fontId="16" fillId="14" borderId="0" xfId="0" applyFont="1" applyFill="1"/>
    <xf numFmtId="0" fontId="16" fillId="12" borderId="0" xfId="0" applyFont="1" applyFill="1"/>
    <xf numFmtId="0" fontId="16" fillId="11" borderId="0" xfId="0" applyFont="1" applyFill="1"/>
    <xf numFmtId="0" fontId="16" fillId="5" borderId="0" xfId="0" applyFont="1" applyFill="1"/>
    <xf numFmtId="0" fontId="0" fillId="3" borderId="4" xfId="0" applyFill="1" applyBorder="1"/>
    <xf numFmtId="0" fontId="0" fillId="5" borderId="4" xfId="0" applyFill="1" applyBorder="1"/>
    <xf numFmtId="0" fontId="14" fillId="0" borderId="2" xfId="5" applyFont="1" applyBorder="1" applyAlignment="1">
      <alignment vertical="top" wrapText="1"/>
    </xf>
    <xf numFmtId="0" fontId="14" fillId="0" borderId="2" xfId="4" applyFont="1" applyBorder="1" applyAlignment="1">
      <alignment vertical="top" wrapText="1"/>
    </xf>
    <xf numFmtId="0" fontId="15" fillId="0" borderId="2" xfId="10" applyFont="1" applyBorder="1" applyAlignment="1">
      <alignment horizontal="left" vertical="top" wrapText="1"/>
    </xf>
    <xf numFmtId="0" fontId="4" fillId="0" borderId="0" xfId="0" applyFont="1"/>
    <xf numFmtId="0" fontId="4" fillId="0" borderId="0" xfId="0" applyFont="1" applyAlignment="1">
      <alignment horizontal="right"/>
    </xf>
    <xf numFmtId="0" fontId="19" fillId="16" borderId="5" xfId="0" applyFont="1" applyFill="1" applyBorder="1" applyAlignment="1">
      <alignment horizontal="center"/>
    </xf>
    <xf numFmtId="0" fontId="20" fillId="13" borderId="6" xfId="0" applyFont="1" applyFill="1" applyBorder="1" applyAlignment="1">
      <alignment horizontal="center"/>
    </xf>
    <xf numFmtId="0" fontId="21" fillId="17" borderId="7" xfId="0" applyFont="1" applyFill="1" applyBorder="1" applyAlignment="1">
      <alignment horizontal="center"/>
    </xf>
    <xf numFmtId="0" fontId="22" fillId="7" borderId="8" xfId="0" applyFont="1" applyFill="1" applyBorder="1" applyAlignment="1">
      <alignment horizontal="center"/>
    </xf>
    <xf numFmtId="9" fontId="23" fillId="6" borderId="8" xfId="13" applyFont="1" applyFill="1" applyBorder="1" applyAlignment="1">
      <alignment horizontal="center"/>
    </xf>
    <xf numFmtId="0" fontId="24" fillId="18" borderId="9" xfId="0" applyFont="1" applyFill="1" applyBorder="1" applyAlignment="1">
      <alignment horizontal="right"/>
    </xf>
    <xf numFmtId="0" fontId="4" fillId="0" borderId="1" xfId="0" applyFont="1" applyBorder="1" applyAlignment="1">
      <alignment horizontal="center"/>
    </xf>
    <xf numFmtId="0" fontId="22" fillId="0" borderId="8" xfId="0" applyFont="1" applyBorder="1" applyAlignment="1">
      <alignment horizontal="center"/>
    </xf>
    <xf numFmtId="0" fontId="21" fillId="17" borderId="7" xfId="0" applyFont="1" applyFill="1" applyBorder="1" applyAlignment="1">
      <alignment horizontal="right"/>
    </xf>
    <xf numFmtId="0" fontId="19" fillId="16" borderId="10" xfId="0" applyFont="1" applyFill="1" applyBorder="1" applyAlignment="1">
      <alignment horizontal="right"/>
    </xf>
    <xf numFmtId="0" fontId="25" fillId="7" borderId="11" xfId="0" applyFont="1" applyFill="1" applyBorder="1" applyAlignment="1">
      <alignment horizontal="right"/>
    </xf>
    <xf numFmtId="0" fontId="4" fillId="0" borderId="12" xfId="0" applyFont="1" applyBorder="1" applyAlignment="1">
      <alignment horizontal="center"/>
    </xf>
    <xf numFmtId="0" fontId="4" fillId="0" borderId="13" xfId="0" applyFont="1" applyBorder="1" applyAlignment="1">
      <alignment horizontal="center"/>
    </xf>
    <xf numFmtId="0" fontId="22" fillId="0" borderId="12" xfId="0" applyFont="1" applyBorder="1" applyAlignment="1">
      <alignment horizontal="center"/>
    </xf>
    <xf numFmtId="0" fontId="22" fillId="7" borderId="14" xfId="0" applyFont="1" applyFill="1" applyBorder="1" applyAlignment="1">
      <alignment horizontal="right"/>
    </xf>
    <xf numFmtId="0" fontId="22" fillId="7" borderId="14" xfId="0" applyFont="1" applyFill="1" applyBorder="1" applyAlignment="1">
      <alignment horizontal="center"/>
    </xf>
    <xf numFmtId="0" fontId="4" fillId="19" borderId="0" xfId="0" applyFont="1" applyFill="1"/>
    <xf numFmtId="0" fontId="26" fillId="0" borderId="0" xfId="0" applyFont="1"/>
    <xf numFmtId="0" fontId="23" fillId="6" borderId="8" xfId="0" applyFont="1" applyFill="1" applyBorder="1" applyAlignment="1">
      <alignment horizontal="right"/>
    </xf>
    <xf numFmtId="0" fontId="26" fillId="19" borderId="0" xfId="0" applyFont="1" applyFill="1"/>
    <xf numFmtId="0" fontId="27" fillId="20" borderId="0" xfId="0" applyFont="1" applyFill="1"/>
    <xf numFmtId="0" fontId="28" fillId="0" borderId="0" xfId="0" applyFont="1"/>
    <xf numFmtId="0" fontId="28" fillId="0" borderId="0" xfId="0" applyFont="1" applyAlignment="1">
      <alignment wrapText="1"/>
    </xf>
    <xf numFmtId="0" fontId="26" fillId="0" borderId="0" xfId="0" applyFont="1" applyAlignment="1">
      <alignment wrapText="1"/>
    </xf>
    <xf numFmtId="167" fontId="28" fillId="0" borderId="0" xfId="0" applyNumberFormat="1" applyFont="1"/>
    <xf numFmtId="0" fontId="0" fillId="0" borderId="0" xfId="0" applyAlignment="1">
      <alignment wrapText="1"/>
    </xf>
    <xf numFmtId="0" fontId="3" fillId="0" borderId="0" xfId="0" applyFont="1"/>
    <xf numFmtId="0" fontId="3" fillId="0" borderId="0" xfId="0" applyFont="1" applyAlignment="1">
      <alignment wrapText="1"/>
    </xf>
    <xf numFmtId="169" fontId="16" fillId="0" borderId="0" xfId="0" applyNumberFormat="1" applyFont="1" applyFill="1" applyAlignment="1"/>
    <xf numFmtId="169" fontId="16" fillId="12" borderId="0" xfId="0" applyNumberFormat="1" applyFont="1" applyFill="1"/>
    <xf numFmtId="0" fontId="0" fillId="8" borderId="0" xfId="0" applyFill="1" applyAlignment="1">
      <alignment horizontal="center"/>
    </xf>
    <xf numFmtId="0" fontId="16" fillId="10" borderId="0" xfId="0" applyFont="1" applyFill="1"/>
    <xf numFmtId="0" fontId="0" fillId="0" borderId="0" xfId="0" applyBorder="1"/>
    <xf numFmtId="16" fontId="0" fillId="0" borderId="0" xfId="0" applyNumberFormat="1" applyBorder="1"/>
    <xf numFmtId="0" fontId="15" fillId="0" borderId="0" xfId="10" applyFont="1" applyBorder="1" applyAlignment="1">
      <alignment horizontal="left" vertical="top"/>
    </xf>
    <xf numFmtId="0" fontId="16" fillId="14" borderId="0" xfId="0" applyFont="1" applyFill="1" applyBorder="1"/>
    <xf numFmtId="0" fontId="1" fillId="3" borderId="0" xfId="0" applyFont="1" applyFill="1" applyAlignment="1">
      <alignment vertical="center" textRotation="90"/>
    </xf>
    <xf numFmtId="14" fontId="29" fillId="0" borderId="2" xfId="11" applyNumberFormat="1" applyFont="1" applyFill="1" applyBorder="1" applyAlignment="1">
      <alignment horizontal="center" vertical="center"/>
    </xf>
    <xf numFmtId="0" fontId="16" fillId="4" borderId="0" xfId="0" applyFont="1" applyFill="1"/>
    <xf numFmtId="0" fontId="16" fillId="12" borderId="0" xfId="0" applyFont="1" applyFill="1" applyAlignment="1"/>
    <xf numFmtId="0" fontId="4" fillId="0" borderId="3" xfId="0" applyFont="1" applyBorder="1" applyAlignment="1">
      <alignment horizontal="right"/>
    </xf>
    <xf numFmtId="168" fontId="4" fillId="0" borderId="3" xfId="0" applyNumberFormat="1" applyFont="1" applyBorder="1" applyAlignment="1">
      <alignment horizontal="right"/>
    </xf>
    <xf numFmtId="169" fontId="18" fillId="22" borderId="0" xfId="0" applyNumberFormat="1" applyFont="1" applyFill="1" applyAlignment="1">
      <alignment horizontal="center"/>
    </xf>
    <xf numFmtId="0" fontId="16" fillId="14" borderId="0" xfId="0" applyFont="1" applyFill="1" applyAlignment="1">
      <alignment horizontal="center" wrapText="1"/>
    </xf>
    <xf numFmtId="169" fontId="16" fillId="21" borderId="0" xfId="0" applyNumberFormat="1" applyFont="1" applyFill="1" applyAlignment="1">
      <alignment horizontal="center"/>
    </xf>
    <xf numFmtId="0" fontId="1" fillId="3" borderId="0" xfId="0" applyFont="1" applyFill="1" applyAlignment="1">
      <alignment horizontal="center" vertical="center" textRotation="90"/>
    </xf>
    <xf numFmtId="0" fontId="1" fillId="3" borderId="0" xfId="0" applyFont="1" applyFill="1" applyAlignment="1">
      <alignment horizontal="center" vertical="center"/>
    </xf>
  </cellXfs>
  <cellStyles count="14">
    <cellStyle name="Hyperlink" xfId="1" builtinId="8"/>
    <cellStyle name="Hyperlink 2" xfId="8" xr:uid="{00000000-0005-0000-0000-000002000000}"/>
    <cellStyle name="Hyperlink 3" xfId="9" xr:uid="{00000000-0005-0000-0000-000003000000}"/>
    <cellStyle name="Neutral 2" xfId="7" xr:uid="{00000000-0005-0000-0000-000004000000}"/>
    <cellStyle name="Normal" xfId="0" builtinId="0"/>
    <cellStyle name="Normal 2" xfId="2" xr:uid="{00000000-0005-0000-0000-000006000000}"/>
    <cellStyle name="Normal 2 2" xfId="11" xr:uid="{00000000-0005-0000-0000-000007000000}"/>
    <cellStyle name="Normal 3" xfId="10" xr:uid="{00000000-0005-0000-0000-000008000000}"/>
    <cellStyle name="Normal 3 2" xfId="4" xr:uid="{00000000-0005-0000-0000-000009000000}"/>
    <cellStyle name="Normal 4" xfId="5" xr:uid="{00000000-0005-0000-0000-00000A000000}"/>
    <cellStyle name="Normal 4 2" xfId="6" xr:uid="{00000000-0005-0000-0000-00000B000000}"/>
    <cellStyle name="Normal 5" xfId="12" xr:uid="{FFBE710B-75C5-DD4C-81DE-69A88CA678EE}"/>
    <cellStyle name="Percent" xfId="13" builtinId="5"/>
    <cellStyle name="Percent [2] 10" xfId="3" xr:uid="{00000000-0005-0000-0000-00000D000000}"/>
  </cellStyles>
  <dxfs count="21">
    <dxf>
      <font>
        <color rgb="FF9C0006"/>
      </font>
      <fill>
        <patternFill>
          <bgColor rgb="FFFFC7CE"/>
        </patternFill>
      </fill>
      <border>
        <left style="thin">
          <color rgb="FFFF0000"/>
        </left>
        <right style="thin">
          <color rgb="FFFF0000"/>
        </right>
        <top style="thin">
          <color rgb="FFFF0000"/>
        </top>
        <bottom style="thin">
          <color rgb="FFFF0000"/>
        </bottom>
      </border>
    </dxf>
    <dxf>
      <font>
        <color theme="8" tint="-0.24994659260841701"/>
      </font>
      <fill>
        <patternFill>
          <bgColor theme="4" tint="0.59996337778862885"/>
        </patternFill>
      </fill>
      <border>
        <left style="thin">
          <color theme="4" tint="-0.24994659260841701"/>
        </left>
        <right style="thin">
          <color theme="4" tint="-0.24994659260841701"/>
        </right>
        <top style="thin">
          <color theme="4" tint="-0.24994659260841701"/>
        </top>
        <bottom style="thin">
          <color theme="4" tint="-0.24994659260841701"/>
        </bottom>
      </border>
    </dxf>
    <dxf>
      <font>
        <color rgb="FF006100"/>
      </font>
      <fill>
        <patternFill>
          <bgColor rgb="FFC6EFCE"/>
        </patternFill>
      </fill>
      <border>
        <left style="thin">
          <color theme="9" tint="-0.24994659260841701"/>
        </left>
        <right style="thin">
          <color theme="9" tint="-0.24994659260841701"/>
        </right>
        <top style="thin">
          <color theme="9" tint="-0.24994659260841701"/>
        </top>
        <bottom style="thin">
          <color theme="9" tint="-0.24994659260841701"/>
        </bottom>
      </border>
    </dxf>
    <dxf>
      <font>
        <color theme="0" tint="-0.499984740745262"/>
      </font>
      <fill>
        <patternFill>
          <bgColor theme="0" tint="-4.9989318521683403E-2"/>
        </patternFill>
      </fill>
      <border>
        <left style="thin">
          <color theme="1" tint="0.499984740745262"/>
        </left>
        <right style="thin">
          <color theme="1" tint="0.499984740745262"/>
        </right>
        <top style="thin">
          <color theme="1" tint="0.499984740745262"/>
        </top>
        <bottom style="thin">
          <color theme="1" tint="0.499984740745262"/>
        </bottom>
      </border>
    </dxf>
    <dxf>
      <font>
        <color rgb="FF9C0006"/>
      </font>
      <fill>
        <patternFill>
          <bgColor rgb="FFFFC7CE"/>
        </patternFill>
      </fill>
      <border>
        <left style="thin">
          <color rgb="FFFF0000"/>
        </left>
        <right style="thin">
          <color rgb="FFFF0000"/>
        </right>
        <top style="thin">
          <color rgb="FFFF0000"/>
        </top>
        <bottom style="thin">
          <color rgb="FFFF0000"/>
        </bottom>
      </border>
    </dxf>
    <dxf>
      <font>
        <color rgb="FF9C6500"/>
      </font>
      <fill>
        <patternFill>
          <bgColor rgb="FFFFEB9C"/>
        </patternFill>
      </fill>
      <border>
        <left style="thin">
          <color theme="7" tint="-0.24994659260841701"/>
        </left>
        <right style="thin">
          <color theme="7" tint="-0.24994659260841701"/>
        </right>
        <top style="thin">
          <color theme="7" tint="-0.24994659260841701"/>
        </top>
        <bottom style="thin">
          <color theme="7" tint="-0.24994659260841701"/>
        </bottom>
      </border>
    </dxf>
    <dxf>
      <font>
        <color rgb="FF006100"/>
      </font>
      <fill>
        <patternFill>
          <bgColor rgb="FFC6EFCE"/>
        </patternFill>
      </fill>
      <border>
        <left style="thin">
          <color theme="9" tint="-0.499984740745262"/>
        </left>
        <right style="thin">
          <color theme="9" tint="-0.499984740745262"/>
        </right>
        <top style="thin">
          <color theme="9" tint="-0.499984740745262"/>
        </top>
        <bottom style="thin">
          <color theme="9" tint="-0.499984740745262"/>
        </bottom>
      </border>
    </dxf>
    <dxf>
      <font>
        <strike val="0"/>
        <outline val="0"/>
        <shadow val="0"/>
        <u val="none"/>
        <vertAlign val="baseline"/>
        <sz val="10"/>
        <color auto="1"/>
        <name val="Segoe UI"/>
        <scheme val="none"/>
      </font>
    </dxf>
    <dxf>
      <font>
        <strike val="0"/>
        <outline val="0"/>
        <shadow val="0"/>
        <u val="none"/>
        <vertAlign val="baseline"/>
        <sz val="10"/>
        <color auto="1"/>
        <name val="Segoe UI"/>
        <scheme val="none"/>
      </font>
      <numFmt numFmtId="167" formatCode="[$-409]d\-mmm\-yy;@"/>
    </dxf>
    <dxf>
      <font>
        <strike val="0"/>
        <outline val="0"/>
        <shadow val="0"/>
        <u val="none"/>
        <vertAlign val="baseline"/>
        <sz val="10"/>
        <color auto="1"/>
        <name val="Segoe UI"/>
        <scheme val="none"/>
      </font>
      <numFmt numFmtId="167" formatCode="[$-409]d\-mmm\-yy;@"/>
    </dxf>
    <dxf>
      <font>
        <strike val="0"/>
        <outline val="0"/>
        <shadow val="0"/>
        <u val="none"/>
        <vertAlign val="baseline"/>
        <sz val="10"/>
        <color auto="1"/>
        <name val="Segoe UI"/>
        <scheme val="none"/>
      </font>
    </dxf>
    <dxf>
      <font>
        <strike val="0"/>
        <outline val="0"/>
        <shadow val="0"/>
        <u val="none"/>
        <vertAlign val="baseline"/>
        <sz val="10"/>
        <color auto="1"/>
        <name val="Segoe UI"/>
        <scheme val="none"/>
      </font>
    </dxf>
    <dxf>
      <font>
        <strike val="0"/>
        <outline val="0"/>
        <shadow val="0"/>
        <u val="none"/>
        <vertAlign val="baseline"/>
        <sz val="10"/>
        <color auto="1"/>
        <name val="Segoe UI"/>
        <family val="2"/>
        <scheme val="none"/>
      </font>
      <alignment horizontal="general" vertical="bottom" textRotation="0" wrapText="1" indent="0" justifyLastLine="0" shrinkToFit="0" readingOrder="0"/>
    </dxf>
    <dxf>
      <font>
        <strike val="0"/>
        <outline val="0"/>
        <shadow val="0"/>
        <u val="none"/>
        <vertAlign val="baseline"/>
        <sz val="10"/>
        <color auto="1"/>
        <name val="Segoe UI"/>
        <scheme val="none"/>
      </font>
      <alignment horizontal="general" vertical="bottom" textRotation="0" wrapText="1" indent="0" justifyLastLine="0" shrinkToFit="0" readingOrder="0"/>
    </dxf>
    <dxf>
      <font>
        <strike val="0"/>
        <outline val="0"/>
        <shadow val="0"/>
        <u val="none"/>
        <vertAlign val="baseline"/>
        <sz val="10"/>
        <color auto="1"/>
        <name val="Segoe UI"/>
        <scheme val="none"/>
      </font>
    </dxf>
    <dxf>
      <border outline="0">
        <left style="thin">
          <color theme="0" tint="-0.34998626667073579"/>
        </left>
        <right style="thin">
          <color theme="0" tint="-0.34998626667073579"/>
        </right>
        <top style="thin">
          <color theme="0" tint="-0.34998626667073579"/>
        </top>
        <bottom style="thin">
          <color theme="0" tint="-0.34998626667073579"/>
        </bottom>
      </border>
    </dxf>
    <dxf>
      <font>
        <strike val="0"/>
        <outline val="0"/>
        <shadow val="0"/>
        <u val="none"/>
        <vertAlign val="baseline"/>
        <sz val="10"/>
        <color auto="1"/>
        <name val="Segoe UI"/>
        <scheme val="none"/>
      </font>
    </dxf>
    <dxf>
      <font>
        <b/>
        <i val="0"/>
        <strike val="0"/>
        <condense val="0"/>
        <extend val="0"/>
        <outline val="0"/>
        <shadow val="0"/>
        <u val="none"/>
        <vertAlign val="baseline"/>
        <sz val="8"/>
        <color theme="0" tint="-4.9989318521683403E-2"/>
        <name val="Segoe UI"/>
        <scheme val="none"/>
      </font>
      <fill>
        <patternFill patternType="solid">
          <fgColor indexed="64"/>
          <bgColor theme="1" tint="0.14996795556505021"/>
        </patternFill>
      </fill>
    </dxf>
    <dxf>
      <fill>
        <patternFill>
          <bgColor theme="0" tint="-4.9989318521683403E-2"/>
        </patternFill>
      </fill>
    </dxf>
    <dxf>
      <font>
        <b/>
        <i val="0"/>
        <color theme="0" tint="-4.9989318521683403E-2"/>
      </font>
      <fill>
        <patternFill patternType="solid">
          <fgColor auto="1"/>
          <bgColor theme="1" tint="0.14996795556505021"/>
        </patternFill>
      </fill>
      <border>
        <vertical/>
      </border>
    </dxf>
    <dxf>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s>
  <tableStyles count="1" defaultTableStyle="TableStyleMedium2" defaultPivotStyle="PivotStyleLight16">
    <tableStyle name="Table Style 1" pivot="0" count="3" xr9:uid="{2EC7DE5A-B2AC-441E-AC41-312C6B1C1AF9}">
      <tableStyleElement type="wholeTable" dxfId="20"/>
      <tableStyleElement type="headerRow" dxfId="19"/>
      <tableStyleElement type="firstRowStripe" dxfId="18"/>
    </tableStyle>
  </tableStyles>
  <colors>
    <mruColors>
      <color rgb="FFFFC1C1"/>
      <color rgb="FFFF9F9F"/>
      <color rgb="FFFFB5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Segoe UI" panose="020B0502040204020203" pitchFamily="34" charset="0"/>
                <a:cs typeface="Segoe UI" panose="020B0502040204020203" pitchFamily="34" charset="0"/>
              </a:defRPr>
            </a:pPr>
            <a:r>
              <a:rPr lang="en-US" sz="1200" b="0">
                <a:latin typeface="Segoe UI" panose="020B0502040204020203" pitchFamily="34" charset="0"/>
                <a:ea typeface="Segoe UI" panose="020B0502040204020203" pitchFamily="34" charset="0"/>
                <a:cs typeface="Segoe UI" panose="020B0502040204020203" pitchFamily="34" charset="0"/>
              </a:rPr>
              <a:t>Action Register</a:t>
            </a:r>
          </a:p>
        </c:rich>
      </c:tx>
      <c:layout>
        <c:manualLayout>
          <c:xMode val="edge"/>
          <c:yMode val="edge"/>
          <c:x val="0.64076125984251975"/>
          <c:y val="2.032778475980404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Segoe UI" panose="020B0502040204020203" pitchFamily="34" charset="0"/>
              <a:ea typeface="Segoe UI" panose="020B0502040204020203" pitchFamily="34" charset="0"/>
              <a:cs typeface="Segoe UI" panose="020B0502040204020203" pitchFamily="34" charset="0"/>
            </a:defRPr>
          </a:pPr>
          <a:endParaRPr lang="en-US"/>
        </a:p>
      </c:txPr>
    </c:title>
    <c:autoTitleDeleted val="0"/>
    <c:plotArea>
      <c:layout>
        <c:manualLayout>
          <c:layoutTarget val="inner"/>
          <c:xMode val="edge"/>
          <c:yMode val="edge"/>
          <c:x val="8.6279370078740161E-2"/>
          <c:y val="0.19216410050654495"/>
          <c:w val="0.88258141732283479"/>
          <c:h val="0.64073758296136551"/>
        </c:manualLayout>
      </c:layout>
      <c:barChart>
        <c:barDir val="col"/>
        <c:grouping val="clustered"/>
        <c:varyColors val="0"/>
        <c:ser>
          <c:idx val="0"/>
          <c:order val="0"/>
          <c:tx>
            <c:strRef>
              <c:f>'Action Items'!$D$5</c:f>
              <c:strCache>
                <c:ptCount val="1"/>
                <c:pt idx="0">
                  <c:v>High</c:v>
                </c:pt>
              </c:strCache>
            </c:strRef>
          </c:tx>
          <c:spPr>
            <a:solidFill>
              <a:srgbClr val="FF7C8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'Action Items'!$C$7:$C$9</c:f>
              <c:strCache>
                <c:ptCount val="3"/>
                <c:pt idx="0">
                  <c:v>In Progress</c:v>
                </c:pt>
                <c:pt idx="1">
                  <c:v>Behind</c:v>
                </c:pt>
                <c:pt idx="2">
                  <c:v>Not Started</c:v>
                </c:pt>
              </c:strCache>
            </c:strRef>
          </c:cat>
          <c:val>
            <c:numRef>
              <c:f>'Action Items'!$D$7:$D$9</c:f>
              <c:numCache>
                <c:formatCode>General</c:formatCode>
                <c:ptCount val="3"/>
                <c:pt idx="0">
                  <c:v>0</c:v>
                </c:pt>
                <c:pt idx="1">
                  <c:v>0</c:v>
                </c:pt>
                <c:pt idx="2">
                  <c:v>0</c:v>
                </c:pt>
              </c:numCache>
            </c:numRef>
          </c:val>
          <c:extLst>
            <c:ext xmlns:c16="http://schemas.microsoft.com/office/drawing/2014/chart" uri="{C3380CC4-5D6E-409C-BE32-E72D297353CC}">
              <c16:uniqueId val="{00000000-3764-4D2E-ACA0-D7344C744E82}"/>
            </c:ext>
          </c:extLst>
        </c:ser>
        <c:ser>
          <c:idx val="1"/>
          <c:order val="1"/>
          <c:tx>
            <c:strRef>
              <c:f>'Action Items'!$E$5</c:f>
              <c:strCache>
                <c:ptCount val="1"/>
                <c:pt idx="0">
                  <c:v>Medium</c:v>
                </c:pt>
              </c:strCache>
            </c:strRef>
          </c:tx>
          <c:spPr>
            <a:solidFill>
              <a:srgbClr val="FFFF99"/>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'Action Items'!$C$7:$C$9</c:f>
              <c:strCache>
                <c:ptCount val="3"/>
                <c:pt idx="0">
                  <c:v>In Progress</c:v>
                </c:pt>
                <c:pt idx="1">
                  <c:v>Behind</c:v>
                </c:pt>
                <c:pt idx="2">
                  <c:v>Not Started</c:v>
                </c:pt>
              </c:strCache>
            </c:strRef>
          </c:cat>
          <c:val>
            <c:numRef>
              <c:f>'Action Items'!$E$7:$E$9</c:f>
              <c:numCache>
                <c:formatCode>General</c:formatCode>
                <c:ptCount val="3"/>
                <c:pt idx="0">
                  <c:v>0</c:v>
                </c:pt>
                <c:pt idx="1">
                  <c:v>0</c:v>
                </c:pt>
                <c:pt idx="2">
                  <c:v>0</c:v>
                </c:pt>
              </c:numCache>
            </c:numRef>
          </c:val>
          <c:extLst>
            <c:ext xmlns:c16="http://schemas.microsoft.com/office/drawing/2014/chart" uri="{C3380CC4-5D6E-409C-BE32-E72D297353CC}">
              <c16:uniqueId val="{00000001-3764-4D2E-ACA0-D7344C744E82}"/>
            </c:ext>
          </c:extLst>
        </c:ser>
        <c:ser>
          <c:idx val="2"/>
          <c:order val="2"/>
          <c:tx>
            <c:strRef>
              <c:f>'Action Items'!$F$5</c:f>
              <c:strCache>
                <c:ptCount val="1"/>
                <c:pt idx="0">
                  <c:v>Low</c:v>
                </c:pt>
              </c:strCache>
            </c:strRef>
          </c:tx>
          <c:spPr>
            <a:solidFill>
              <a:schemeClr val="accent6">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'Action Items'!$C$7:$C$9</c:f>
              <c:strCache>
                <c:ptCount val="3"/>
                <c:pt idx="0">
                  <c:v>In Progress</c:v>
                </c:pt>
                <c:pt idx="1">
                  <c:v>Behind</c:v>
                </c:pt>
                <c:pt idx="2">
                  <c:v>Not Started</c:v>
                </c:pt>
              </c:strCache>
            </c:strRef>
          </c:cat>
          <c:val>
            <c:numRef>
              <c:f>'Action Items'!$F$7:$F$9</c:f>
              <c:numCache>
                <c:formatCode>General</c:formatCode>
                <c:ptCount val="3"/>
                <c:pt idx="0">
                  <c:v>0</c:v>
                </c:pt>
                <c:pt idx="1">
                  <c:v>0</c:v>
                </c:pt>
                <c:pt idx="2">
                  <c:v>0</c:v>
                </c:pt>
              </c:numCache>
            </c:numRef>
          </c:val>
          <c:extLst>
            <c:ext xmlns:c16="http://schemas.microsoft.com/office/drawing/2014/chart" uri="{C3380CC4-5D6E-409C-BE32-E72D297353CC}">
              <c16:uniqueId val="{00000002-3764-4D2E-ACA0-D7344C744E82}"/>
            </c:ext>
          </c:extLst>
        </c:ser>
        <c:dLbls>
          <c:dLblPos val="outEnd"/>
          <c:showLegendKey val="0"/>
          <c:showVal val="1"/>
          <c:showCatName val="0"/>
          <c:showSerName val="0"/>
          <c:showPercent val="0"/>
          <c:showBubbleSize val="0"/>
        </c:dLbls>
        <c:gapWidth val="100"/>
        <c:overlap val="-24"/>
        <c:axId val="558209720"/>
        <c:axId val="558208544"/>
      </c:barChart>
      <c:catAx>
        <c:axId val="5582097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08544"/>
        <c:crosses val="autoZero"/>
        <c:auto val="1"/>
        <c:lblAlgn val="ctr"/>
        <c:lblOffset val="100"/>
        <c:noMultiLvlLbl val="0"/>
      </c:catAx>
      <c:valAx>
        <c:axId val="558208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209720"/>
        <c:crosses val="autoZero"/>
        <c:crossBetween val="between"/>
        <c:majorUnit val="5"/>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28575</xdr:colOff>
      <xdr:row>1</xdr:row>
      <xdr:rowOff>28576</xdr:rowOff>
    </xdr:from>
    <xdr:to>
      <xdr:col>1</xdr:col>
      <xdr:colOff>4200525</xdr:colOff>
      <xdr:row>11</xdr:row>
      <xdr:rowOff>123826</xdr:rowOff>
    </xdr:to>
    <xdr:graphicFrame macro="">
      <xdr:nvGraphicFramePr>
        <xdr:cNvPr id="2" name="Chart 1">
          <a:extLst>
            <a:ext uri="{FF2B5EF4-FFF2-40B4-BE49-F238E27FC236}">
              <a16:creationId xmlns:a16="http://schemas.microsoft.com/office/drawing/2014/main" id="{FD1F0DBE-7840-4222-8ADE-4A16BEAF7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41</xdr:col>
      <xdr:colOff>160131</xdr:colOff>
      <xdr:row>4</xdr:row>
      <xdr:rowOff>143566</xdr:rowOff>
    </xdr:from>
    <xdr:to>
      <xdr:col>66</xdr:col>
      <xdr:colOff>99391</xdr:colOff>
      <xdr:row>15</xdr:row>
      <xdr:rowOff>27609</xdr:rowOff>
    </xdr:to>
    <xdr:sp macro="" textlink="">
      <xdr:nvSpPr>
        <xdr:cNvPr id="2" name="TextBox 1">
          <a:extLst>
            <a:ext uri="{FF2B5EF4-FFF2-40B4-BE49-F238E27FC236}">
              <a16:creationId xmlns:a16="http://schemas.microsoft.com/office/drawing/2014/main" id="{CAA563EC-598F-4FD3-80C4-6B57BF8A3C20}"/>
            </a:ext>
          </a:extLst>
        </xdr:cNvPr>
        <xdr:cNvSpPr txBox="1"/>
      </xdr:nvSpPr>
      <xdr:spPr>
        <a:xfrm>
          <a:off x="16686696" y="3467653"/>
          <a:ext cx="8221869" cy="1888434"/>
        </a:xfrm>
        <a:prstGeom prst="rect">
          <a:avLst/>
        </a:prstGeom>
        <a:solidFill>
          <a:schemeClr val="accent2">
            <a:lumMod val="40000"/>
            <a:lumOff val="60000"/>
            <a:alpha val="72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t>Timeline under review</a:t>
          </a:r>
        </a:p>
        <a:p>
          <a:pPr algn="ct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Julian%20calendar%20(any%20year)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FEB"/>
      <sheetName val="MAR"/>
      <sheetName val="APR"/>
      <sheetName val="MAY"/>
      <sheetName val="JUN"/>
      <sheetName val="JUL"/>
      <sheetName val="AUG"/>
      <sheetName val="SEP"/>
      <sheetName val="OCT"/>
      <sheetName val="NOV"/>
      <sheetName val="DEC"/>
    </sheetNames>
    <sheetDataSet>
      <sheetData sheetId="0">
        <row r="1">
          <cell r="C1" t="str">
            <v>SUN</v>
          </cell>
        </row>
        <row r="2">
          <cell r="B2">
            <v>2017</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AC58EC-5CFB-4A2B-BC30-DA1FBA206F6F}" name="Table1" displayName="Table1" ref="A13:H55" totalsRowShown="0" headerRowDxfId="17" dataDxfId="16" tableBorderDxfId="15">
  <autoFilter ref="A13:H55" xr:uid="{D0DC1BB7-D78F-48E4-90A7-C4DD0B6F99F2}"/>
  <tableColumns count="8">
    <tableColumn id="1" xr3:uid="{D326B636-AE48-4100-A020-262D78EB70E7}" name="ID" dataDxfId="14">
      <calculatedColumnFormula>A13+1</calculatedColumnFormula>
    </tableColumn>
    <tableColumn id="2" xr3:uid="{E406A32E-1FBD-4BC5-997E-334D10A3CB16}" name="Description" dataDxfId="13"/>
    <tableColumn id="3" xr3:uid="{C573B69A-CC34-4A86-8013-E1F44CA82CD9}" name="Comments" dataDxfId="12"/>
    <tableColumn id="4" xr3:uid="{99BDBB5D-7316-4DA8-A41F-FC0481BFD170}" name="Status" dataDxfId="11"/>
    <tableColumn id="5" xr3:uid="{78FF1F9A-F7B8-4BA7-81C9-F24D58ADEBD8}" name="Priority" dataDxfId="10"/>
    <tableColumn id="6" xr3:uid="{234F67F7-5693-492E-8D3B-D158DC7FD23F}" name="Due Date" dataDxfId="9"/>
    <tableColumn id="7" xr3:uid="{584C169E-A857-4F3B-90CB-7E863CD1B5FE}" name="Cmpl Date" dataDxfId="8"/>
    <tableColumn id="8" xr3:uid="{18431108-0D95-4C1C-820A-D3E5DBEA1C66}" name="Owner" dataDxfId="7"/>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hyperlink" Target="https://www.dropbox.com/s/evqcju5do8mkhfp/CT%20Suite%20-%20Deploy%20CT%20Comm%20OVA.pdf?dl=0" TargetMode="External"/><Relationship Id="rId1" Type="http://schemas.openxmlformats.org/officeDocument/2006/relationships/hyperlink" Target="https://www.dropbox.com/s/9si726wlodv119i/CT%20Comm%20Server%20SIP.ova?dl=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2D7FE-EAA2-40C6-A90B-B47570A5375E}">
  <dimension ref="A1:H55"/>
  <sheetViews>
    <sheetView workbookViewId="0">
      <pane ySplit="13" topLeftCell="A14" activePane="bottomLeft" state="frozen"/>
      <selection pane="bottomLeft" activeCell="A14" sqref="A14"/>
    </sheetView>
  </sheetViews>
  <sheetFormatPr defaultRowHeight="15" x14ac:dyDescent="0.25"/>
  <cols>
    <col min="1" max="1" width="3.5703125" customWidth="1"/>
    <col min="2" max="3" width="38.42578125" customWidth="1"/>
    <col min="8" max="8" width="13" customWidth="1"/>
  </cols>
  <sheetData>
    <row r="1" spans="1:8" ht="8.1" customHeight="1" x14ac:dyDescent="0.25"/>
    <row r="2" spans="1:8" x14ac:dyDescent="0.25">
      <c r="A2" s="22"/>
      <c r="B2" s="22"/>
      <c r="C2" s="22"/>
      <c r="D2" s="22"/>
      <c r="E2" s="22"/>
      <c r="F2" s="23" t="s">
        <v>8</v>
      </c>
      <c r="G2" s="64" t="s">
        <v>9</v>
      </c>
      <c r="H2" s="64"/>
    </row>
    <row r="3" spans="1:8" x14ac:dyDescent="0.25">
      <c r="A3" s="22"/>
      <c r="B3" s="22"/>
      <c r="C3" s="22"/>
      <c r="D3" s="22"/>
      <c r="E3" s="22"/>
      <c r="F3" s="23" t="s">
        <v>10</v>
      </c>
      <c r="G3" s="65"/>
      <c r="H3" s="65"/>
    </row>
    <row r="4" spans="1:8" x14ac:dyDescent="0.25">
      <c r="A4" s="22"/>
      <c r="B4" s="22"/>
      <c r="C4" s="22"/>
      <c r="D4" s="22"/>
      <c r="E4" s="22"/>
      <c r="F4" s="22"/>
      <c r="G4" s="22"/>
      <c r="H4" s="22"/>
    </row>
    <row r="5" spans="1:8" x14ac:dyDescent="0.25">
      <c r="A5" s="22"/>
      <c r="B5" s="22"/>
      <c r="C5" s="22"/>
      <c r="D5" s="24" t="s">
        <v>11</v>
      </c>
      <c r="E5" s="25" t="s">
        <v>12</v>
      </c>
      <c r="F5" s="26" t="s">
        <v>13</v>
      </c>
      <c r="G5" s="27" t="s">
        <v>14</v>
      </c>
      <c r="H5" s="28" t="s">
        <v>15</v>
      </c>
    </row>
    <row r="6" spans="1:8" x14ac:dyDescent="0.25">
      <c r="A6" s="22"/>
      <c r="B6" s="22"/>
      <c r="C6" s="29" t="s">
        <v>16</v>
      </c>
      <c r="D6" s="30">
        <f t="shared" ref="D6:F9" si="0">COUNTIFS($D$13:$D$1048576,$C6,$E$13:$E$1048576,D$5)</f>
        <v>0</v>
      </c>
      <c r="E6" s="30">
        <f t="shared" si="0"/>
        <v>0</v>
      </c>
      <c r="F6" s="30">
        <f t="shared" si="0"/>
        <v>0</v>
      </c>
      <c r="G6" s="31">
        <f>SUM(D6:F6)</f>
        <v>0</v>
      </c>
      <c r="H6" s="28">
        <f>IFERROR(G6/$G$10,0)</f>
        <v>0</v>
      </c>
    </row>
    <row r="7" spans="1:8" x14ac:dyDescent="0.25">
      <c r="A7" s="22"/>
      <c r="B7" s="22"/>
      <c r="C7" s="32" t="s">
        <v>17</v>
      </c>
      <c r="D7" s="30">
        <f t="shared" si="0"/>
        <v>0</v>
      </c>
      <c r="E7" s="30">
        <f t="shared" si="0"/>
        <v>0</v>
      </c>
      <c r="F7" s="30">
        <f t="shared" si="0"/>
        <v>0</v>
      </c>
      <c r="G7" s="31">
        <f>SUM(D7:F7)</f>
        <v>0</v>
      </c>
      <c r="H7" s="28">
        <f>IFERROR(G7/$G$10,0)</f>
        <v>0</v>
      </c>
    </row>
    <row r="8" spans="1:8" x14ac:dyDescent="0.25">
      <c r="A8" s="22"/>
      <c r="B8" s="22"/>
      <c r="C8" s="33" t="s">
        <v>18</v>
      </c>
      <c r="D8" s="30">
        <f t="shared" si="0"/>
        <v>0</v>
      </c>
      <c r="E8" s="30">
        <f t="shared" si="0"/>
        <v>0</v>
      </c>
      <c r="F8" s="30">
        <f t="shared" si="0"/>
        <v>0</v>
      </c>
      <c r="G8" s="31">
        <f>SUM(D8:F8)</f>
        <v>0</v>
      </c>
      <c r="H8" s="28">
        <f>IFERROR(G8/$G$10,0)</f>
        <v>0</v>
      </c>
    </row>
    <row r="9" spans="1:8" ht="15.75" thickBot="1" x14ac:dyDescent="0.3">
      <c r="A9" s="22"/>
      <c r="B9" s="22"/>
      <c r="C9" s="34" t="s">
        <v>19</v>
      </c>
      <c r="D9" s="35">
        <f t="shared" si="0"/>
        <v>0</v>
      </c>
      <c r="E9" s="36">
        <f t="shared" si="0"/>
        <v>0</v>
      </c>
      <c r="F9" s="36">
        <f t="shared" si="0"/>
        <v>0</v>
      </c>
      <c r="G9" s="37">
        <f>SUM(D9:F9)</f>
        <v>0</v>
      </c>
      <c r="H9" s="28">
        <f>IFERROR(G9/$G$10,0)</f>
        <v>0</v>
      </c>
    </row>
    <row r="10" spans="1:8" ht="15.75" thickTop="1" x14ac:dyDescent="0.25">
      <c r="A10" s="22"/>
      <c r="B10" s="22"/>
      <c r="C10" s="38" t="s">
        <v>14</v>
      </c>
      <c r="D10" s="39">
        <f>SUM(D6:D9)</f>
        <v>0</v>
      </c>
      <c r="E10" s="39">
        <f>SUM(E6:E9)</f>
        <v>0</v>
      </c>
      <c r="F10" s="39">
        <f>SUM(F6:F9)</f>
        <v>0</v>
      </c>
      <c r="G10" s="39">
        <f>SUM(G6:G9)</f>
        <v>0</v>
      </c>
      <c r="H10" s="40"/>
    </row>
    <row r="11" spans="1:8" x14ac:dyDescent="0.25">
      <c r="A11" s="41"/>
      <c r="B11" s="41"/>
      <c r="C11" s="42" t="s">
        <v>15</v>
      </c>
      <c r="D11" s="28">
        <f>IFERROR(D10/$G$10,0)</f>
        <v>0</v>
      </c>
      <c r="E11" s="28">
        <f>IFERROR(E10/$G$10,0)</f>
        <v>0</v>
      </c>
      <c r="F11" s="28">
        <f>IFERROR(F10/$G$10,0)</f>
        <v>0</v>
      </c>
      <c r="G11" s="43"/>
      <c r="H11" s="43"/>
    </row>
    <row r="12" spans="1:8" x14ac:dyDescent="0.25">
      <c r="A12" s="41"/>
      <c r="B12" s="41"/>
      <c r="C12" s="41"/>
      <c r="D12" s="41"/>
      <c r="E12" s="41"/>
      <c r="F12" s="41"/>
      <c r="G12" s="41"/>
      <c r="H12" s="41"/>
    </row>
    <row r="13" spans="1:8" x14ac:dyDescent="0.25">
      <c r="A13" s="44" t="s">
        <v>20</v>
      </c>
      <c r="B13" s="44" t="s">
        <v>21</v>
      </c>
      <c r="C13" s="44" t="s">
        <v>22</v>
      </c>
      <c r="D13" s="44" t="s">
        <v>2</v>
      </c>
      <c r="E13" s="44" t="s">
        <v>23</v>
      </c>
      <c r="F13" s="44" t="s">
        <v>24</v>
      </c>
      <c r="G13" s="44" t="s">
        <v>25</v>
      </c>
      <c r="H13" s="44" t="s">
        <v>26</v>
      </c>
    </row>
    <row r="14" spans="1:8" x14ac:dyDescent="0.25">
      <c r="A14" s="45">
        <v>1</v>
      </c>
      <c r="B14" s="46"/>
      <c r="C14" s="47"/>
      <c r="D14" s="45"/>
      <c r="E14" s="45"/>
      <c r="F14" s="48"/>
      <c r="G14" s="48"/>
      <c r="H14" s="45"/>
    </row>
    <row r="15" spans="1:8" x14ac:dyDescent="0.25">
      <c r="A15" s="45">
        <f t="shared" ref="A15:A55" si="1">A14+1</f>
        <v>2</v>
      </c>
      <c r="B15" s="46"/>
      <c r="C15" s="47"/>
      <c r="D15" s="45"/>
      <c r="E15" s="45"/>
      <c r="F15" s="48"/>
      <c r="G15" s="48"/>
      <c r="H15" s="45"/>
    </row>
    <row r="16" spans="1:8" x14ac:dyDescent="0.25">
      <c r="A16" s="45">
        <f t="shared" si="1"/>
        <v>3</v>
      </c>
      <c r="B16" s="46"/>
      <c r="C16" s="47"/>
      <c r="D16" s="45"/>
      <c r="E16" s="45"/>
      <c r="F16" s="48"/>
      <c r="G16" s="48"/>
      <c r="H16" s="45"/>
    </row>
    <row r="17" spans="1:8" x14ac:dyDescent="0.25">
      <c r="A17" s="45">
        <f t="shared" si="1"/>
        <v>4</v>
      </c>
      <c r="B17" s="46"/>
      <c r="C17" s="47"/>
      <c r="D17" s="45"/>
      <c r="E17" s="45"/>
      <c r="F17" s="48"/>
      <c r="G17" s="48"/>
      <c r="H17" s="45"/>
    </row>
    <row r="18" spans="1:8" x14ac:dyDescent="0.25">
      <c r="A18" s="45">
        <f t="shared" si="1"/>
        <v>5</v>
      </c>
      <c r="B18" s="46"/>
      <c r="C18" s="47"/>
      <c r="D18" s="45"/>
      <c r="E18" s="45"/>
      <c r="F18" s="48"/>
      <c r="G18" s="48"/>
      <c r="H18" s="45"/>
    </row>
    <row r="19" spans="1:8" x14ac:dyDescent="0.25">
      <c r="A19" s="45">
        <f t="shared" si="1"/>
        <v>6</v>
      </c>
      <c r="B19" s="46"/>
      <c r="C19" s="47"/>
      <c r="D19" s="45"/>
      <c r="E19" s="45"/>
      <c r="F19" s="48"/>
      <c r="G19" s="48"/>
      <c r="H19" s="45"/>
    </row>
    <row r="20" spans="1:8" x14ac:dyDescent="0.25">
      <c r="A20" s="45">
        <f t="shared" si="1"/>
        <v>7</v>
      </c>
      <c r="B20" s="46"/>
      <c r="C20" s="47"/>
      <c r="D20" s="45"/>
      <c r="E20" s="45"/>
      <c r="F20" s="48"/>
      <c r="G20" s="48"/>
      <c r="H20" s="45"/>
    </row>
    <row r="21" spans="1:8" x14ac:dyDescent="0.25">
      <c r="A21" s="45">
        <f t="shared" si="1"/>
        <v>8</v>
      </c>
      <c r="B21" s="49"/>
      <c r="C21" s="47"/>
      <c r="D21" s="45"/>
      <c r="E21" s="45"/>
      <c r="F21" s="48"/>
      <c r="G21" s="48"/>
      <c r="H21" s="50"/>
    </row>
    <row r="22" spans="1:8" x14ac:dyDescent="0.25">
      <c r="A22" s="45">
        <f t="shared" si="1"/>
        <v>9</v>
      </c>
      <c r="B22" s="51"/>
      <c r="C22" s="47"/>
      <c r="D22" s="50"/>
      <c r="E22" s="50"/>
      <c r="F22" s="48"/>
      <c r="G22" s="48"/>
      <c r="H22" s="50"/>
    </row>
    <row r="23" spans="1:8" x14ac:dyDescent="0.25">
      <c r="A23" s="45">
        <f t="shared" si="1"/>
        <v>10</v>
      </c>
      <c r="B23" s="51"/>
      <c r="C23" s="47"/>
      <c r="D23" s="50"/>
      <c r="E23" s="50"/>
      <c r="F23" s="48"/>
      <c r="G23" s="48"/>
      <c r="H23" s="50"/>
    </row>
    <row r="24" spans="1:8" x14ac:dyDescent="0.25">
      <c r="A24" s="45">
        <f t="shared" si="1"/>
        <v>11</v>
      </c>
      <c r="B24" s="51"/>
      <c r="C24" s="47"/>
      <c r="D24" s="50"/>
      <c r="E24" s="50"/>
      <c r="F24" s="48"/>
      <c r="G24" s="48"/>
      <c r="H24" s="50"/>
    </row>
    <row r="25" spans="1:8" x14ac:dyDescent="0.25">
      <c r="A25" s="45">
        <f t="shared" si="1"/>
        <v>12</v>
      </c>
      <c r="B25" s="51"/>
      <c r="C25" s="47"/>
      <c r="D25" s="50"/>
      <c r="E25" s="50"/>
      <c r="F25" s="48"/>
      <c r="G25" s="48"/>
      <c r="H25" s="50"/>
    </row>
    <row r="26" spans="1:8" x14ac:dyDescent="0.25">
      <c r="A26" s="45">
        <f t="shared" si="1"/>
        <v>13</v>
      </c>
      <c r="B26" s="51"/>
      <c r="C26" s="47"/>
      <c r="D26" s="50"/>
      <c r="E26" s="50"/>
      <c r="F26" s="48"/>
      <c r="G26" s="48"/>
      <c r="H26" s="50"/>
    </row>
    <row r="27" spans="1:8" x14ac:dyDescent="0.25">
      <c r="A27" s="45">
        <f t="shared" si="1"/>
        <v>14</v>
      </c>
      <c r="B27" s="51"/>
      <c r="C27" s="47"/>
      <c r="D27" s="50"/>
      <c r="E27" s="50"/>
      <c r="F27" s="48"/>
      <c r="G27" s="48"/>
      <c r="H27" s="50"/>
    </row>
    <row r="28" spans="1:8" x14ac:dyDescent="0.25">
      <c r="A28" s="45">
        <f t="shared" si="1"/>
        <v>15</v>
      </c>
      <c r="B28" s="46"/>
      <c r="C28" s="47"/>
      <c r="D28" s="45"/>
      <c r="E28" s="45"/>
      <c r="F28" s="48"/>
      <c r="G28" s="48"/>
      <c r="H28" s="45"/>
    </row>
    <row r="29" spans="1:8" x14ac:dyDescent="0.25">
      <c r="A29" s="45">
        <f t="shared" si="1"/>
        <v>16</v>
      </c>
      <c r="B29" s="46"/>
      <c r="C29" s="47"/>
      <c r="D29" s="45"/>
      <c r="E29" s="45"/>
      <c r="F29" s="48"/>
      <c r="G29" s="48"/>
      <c r="H29" s="45"/>
    </row>
    <row r="30" spans="1:8" x14ac:dyDescent="0.25">
      <c r="A30" s="45">
        <f t="shared" si="1"/>
        <v>17</v>
      </c>
      <c r="B30" s="46"/>
      <c r="C30" s="47"/>
      <c r="D30" s="45"/>
      <c r="E30" s="45"/>
      <c r="F30" s="48"/>
      <c r="G30" s="48"/>
      <c r="H30" s="45"/>
    </row>
    <row r="31" spans="1:8" x14ac:dyDescent="0.25">
      <c r="A31" s="45">
        <f t="shared" si="1"/>
        <v>18</v>
      </c>
      <c r="B31" s="46"/>
      <c r="C31" s="47"/>
      <c r="D31" s="45"/>
      <c r="E31" s="45"/>
      <c r="F31" s="48"/>
      <c r="G31" s="48"/>
      <c r="H31" s="45"/>
    </row>
    <row r="32" spans="1:8" x14ac:dyDescent="0.25">
      <c r="A32" s="45">
        <f t="shared" si="1"/>
        <v>19</v>
      </c>
      <c r="B32" s="46"/>
      <c r="C32" s="47"/>
      <c r="D32" s="45"/>
      <c r="E32" s="45"/>
      <c r="F32" s="48"/>
      <c r="G32" s="48"/>
      <c r="H32" s="45"/>
    </row>
    <row r="33" spans="1:8" x14ac:dyDescent="0.25">
      <c r="A33" s="45">
        <f t="shared" si="1"/>
        <v>20</v>
      </c>
      <c r="B33" s="46"/>
      <c r="C33" s="47"/>
      <c r="D33" s="45"/>
      <c r="E33" s="45"/>
      <c r="F33" s="48"/>
      <c r="G33" s="48"/>
      <c r="H33" s="45"/>
    </row>
    <row r="34" spans="1:8" x14ac:dyDescent="0.25">
      <c r="A34" s="45">
        <f t="shared" si="1"/>
        <v>21</v>
      </c>
      <c r="B34" s="46"/>
      <c r="C34" s="47"/>
      <c r="D34" s="45"/>
      <c r="E34" s="45"/>
      <c r="F34" s="48"/>
      <c r="G34" s="48"/>
      <c r="H34" s="45"/>
    </row>
    <row r="35" spans="1:8" x14ac:dyDescent="0.25">
      <c r="A35" s="45">
        <f t="shared" si="1"/>
        <v>22</v>
      </c>
      <c r="B35" s="46"/>
      <c r="C35" s="47"/>
      <c r="D35" s="45"/>
      <c r="E35" s="45"/>
      <c r="F35" s="48"/>
      <c r="G35" s="48"/>
      <c r="H35" s="45"/>
    </row>
    <row r="36" spans="1:8" x14ac:dyDescent="0.25">
      <c r="A36" s="45">
        <f t="shared" si="1"/>
        <v>23</v>
      </c>
      <c r="B36" s="46"/>
      <c r="C36" s="47"/>
      <c r="D36" s="45"/>
      <c r="E36" s="45"/>
      <c r="F36" s="48"/>
      <c r="G36" s="48"/>
      <c r="H36" s="45"/>
    </row>
    <row r="37" spans="1:8" x14ac:dyDescent="0.25">
      <c r="A37" s="45">
        <f t="shared" si="1"/>
        <v>24</v>
      </c>
      <c r="B37" s="46"/>
      <c r="C37" s="47"/>
      <c r="D37" s="45"/>
      <c r="E37" s="45"/>
      <c r="F37" s="48"/>
      <c r="G37" s="48"/>
      <c r="H37" s="45"/>
    </row>
    <row r="38" spans="1:8" x14ac:dyDescent="0.25">
      <c r="A38" s="45">
        <f t="shared" si="1"/>
        <v>25</v>
      </c>
      <c r="B38" s="46"/>
      <c r="C38" s="47"/>
      <c r="D38" s="45"/>
      <c r="E38" s="45"/>
      <c r="F38" s="48"/>
      <c r="G38" s="48"/>
      <c r="H38" s="45"/>
    </row>
    <row r="39" spans="1:8" x14ac:dyDescent="0.25">
      <c r="A39" s="45">
        <f t="shared" si="1"/>
        <v>26</v>
      </c>
      <c r="B39" s="46"/>
      <c r="C39" s="47"/>
      <c r="D39" s="45"/>
      <c r="E39" s="45"/>
      <c r="F39" s="48"/>
      <c r="G39" s="48"/>
      <c r="H39" s="45"/>
    </row>
    <row r="40" spans="1:8" x14ac:dyDescent="0.25">
      <c r="A40" s="45">
        <f t="shared" si="1"/>
        <v>27</v>
      </c>
      <c r="B40" s="46"/>
      <c r="C40" s="47"/>
      <c r="D40" s="45"/>
      <c r="E40" s="45"/>
      <c r="F40" s="48"/>
      <c r="G40" s="48"/>
      <c r="H40" s="45"/>
    </row>
    <row r="41" spans="1:8" x14ac:dyDescent="0.25">
      <c r="A41" s="45">
        <f t="shared" si="1"/>
        <v>28</v>
      </c>
      <c r="B41" s="46"/>
      <c r="C41" s="47"/>
      <c r="D41" s="45"/>
      <c r="E41" s="45"/>
      <c r="F41" s="48"/>
      <c r="G41" s="48"/>
      <c r="H41" s="45"/>
    </row>
    <row r="42" spans="1:8" x14ac:dyDescent="0.25">
      <c r="A42" s="45">
        <f t="shared" si="1"/>
        <v>29</v>
      </c>
      <c r="B42" s="46"/>
      <c r="C42" s="47"/>
      <c r="D42" s="45"/>
      <c r="E42" s="45"/>
      <c r="F42" s="48"/>
      <c r="G42" s="48"/>
      <c r="H42" s="45"/>
    </row>
    <row r="43" spans="1:8" x14ac:dyDescent="0.25">
      <c r="A43" s="45">
        <f t="shared" si="1"/>
        <v>30</v>
      </c>
      <c r="B43" s="46"/>
      <c r="C43" s="47"/>
      <c r="D43" s="45"/>
      <c r="E43" s="45"/>
      <c r="F43" s="48"/>
      <c r="G43" s="48"/>
      <c r="H43" s="45"/>
    </row>
    <row r="44" spans="1:8" x14ac:dyDescent="0.25">
      <c r="A44" s="45">
        <f t="shared" si="1"/>
        <v>31</v>
      </c>
      <c r="B44" s="46"/>
      <c r="C44" s="47"/>
      <c r="D44" s="45"/>
      <c r="E44" s="45"/>
      <c r="F44" s="48"/>
      <c r="G44" s="48"/>
      <c r="H44" s="45"/>
    </row>
    <row r="45" spans="1:8" x14ac:dyDescent="0.25">
      <c r="A45" s="45">
        <f t="shared" si="1"/>
        <v>32</v>
      </c>
      <c r="B45" s="46"/>
      <c r="C45" s="47"/>
      <c r="D45" s="45"/>
      <c r="E45" s="45"/>
      <c r="F45" s="48"/>
      <c r="G45" s="48"/>
      <c r="H45" s="45"/>
    </row>
    <row r="46" spans="1:8" x14ac:dyDescent="0.25">
      <c r="A46" s="45">
        <f t="shared" si="1"/>
        <v>33</v>
      </c>
      <c r="B46" s="46"/>
      <c r="C46" s="47"/>
      <c r="D46" s="45"/>
      <c r="E46" s="45"/>
      <c r="F46" s="48"/>
      <c r="G46" s="48"/>
      <c r="H46" s="45"/>
    </row>
    <row r="47" spans="1:8" x14ac:dyDescent="0.25">
      <c r="A47" s="45">
        <f t="shared" si="1"/>
        <v>34</v>
      </c>
      <c r="B47" s="46"/>
      <c r="C47" s="47"/>
      <c r="D47" s="45"/>
      <c r="E47" s="45"/>
      <c r="F47" s="48"/>
      <c r="G47" s="48"/>
      <c r="H47" s="45"/>
    </row>
    <row r="48" spans="1:8" x14ac:dyDescent="0.25">
      <c r="A48" s="45">
        <f t="shared" si="1"/>
        <v>35</v>
      </c>
      <c r="B48" s="46"/>
      <c r="C48" s="47"/>
      <c r="D48" s="45"/>
      <c r="E48" s="45"/>
      <c r="F48" s="48"/>
      <c r="G48" s="48"/>
      <c r="H48" s="45"/>
    </row>
    <row r="49" spans="1:8" x14ac:dyDescent="0.25">
      <c r="A49" s="45">
        <f t="shared" si="1"/>
        <v>36</v>
      </c>
      <c r="B49" s="46"/>
      <c r="C49" s="47"/>
      <c r="D49" s="45"/>
      <c r="E49" s="45"/>
      <c r="F49" s="48"/>
      <c r="G49" s="48"/>
      <c r="H49" s="45"/>
    </row>
    <row r="50" spans="1:8" x14ac:dyDescent="0.25">
      <c r="A50" s="45">
        <f t="shared" si="1"/>
        <v>37</v>
      </c>
      <c r="B50" s="46"/>
      <c r="C50" s="47"/>
      <c r="D50" s="45"/>
      <c r="E50" s="45"/>
      <c r="F50" s="48"/>
      <c r="G50" s="48"/>
      <c r="H50" s="45"/>
    </row>
    <row r="51" spans="1:8" x14ac:dyDescent="0.25">
      <c r="A51" s="45">
        <f t="shared" si="1"/>
        <v>38</v>
      </c>
      <c r="B51" s="46"/>
      <c r="C51" s="47"/>
      <c r="D51" s="45"/>
      <c r="E51" s="45"/>
      <c r="F51" s="48"/>
      <c r="G51" s="48"/>
      <c r="H51" s="45"/>
    </row>
    <row r="52" spans="1:8" x14ac:dyDescent="0.25">
      <c r="A52" s="45">
        <f t="shared" si="1"/>
        <v>39</v>
      </c>
      <c r="B52" s="46"/>
      <c r="C52" s="47"/>
      <c r="D52" s="45"/>
      <c r="E52" s="45"/>
      <c r="F52" s="48"/>
      <c r="G52" s="48"/>
      <c r="H52" s="45"/>
    </row>
    <row r="53" spans="1:8" x14ac:dyDescent="0.25">
      <c r="A53" s="45">
        <f t="shared" si="1"/>
        <v>40</v>
      </c>
      <c r="B53" s="46"/>
      <c r="C53" s="47"/>
      <c r="D53" s="45"/>
      <c r="E53" s="45"/>
      <c r="F53" s="48"/>
      <c r="G53" s="48"/>
      <c r="H53" s="45"/>
    </row>
    <row r="54" spans="1:8" x14ac:dyDescent="0.25">
      <c r="A54" s="45">
        <f t="shared" si="1"/>
        <v>41</v>
      </c>
      <c r="B54" s="46"/>
      <c r="C54" s="47"/>
      <c r="D54" s="45"/>
      <c r="E54" s="45"/>
      <c r="F54" s="48"/>
      <c r="G54" s="48"/>
      <c r="H54" s="45"/>
    </row>
    <row r="55" spans="1:8" x14ac:dyDescent="0.25">
      <c r="A55" s="45">
        <f t="shared" si="1"/>
        <v>42</v>
      </c>
      <c r="B55" s="46"/>
      <c r="C55" s="47"/>
      <c r="D55" s="45"/>
      <c r="E55" s="45"/>
      <c r="F55" s="48"/>
      <c r="G55" s="48"/>
      <c r="H55" s="45"/>
    </row>
  </sheetData>
  <mergeCells count="2">
    <mergeCell ref="G2:H2"/>
    <mergeCell ref="G3:H3"/>
  </mergeCells>
  <conditionalFormatting sqref="E14:E55">
    <cfRule type="cellIs" dxfId="6" priority="1" operator="equal">
      <formula>"Low"</formula>
    </cfRule>
    <cfRule type="cellIs" dxfId="5" priority="2" operator="equal">
      <formula>"Medium"</formula>
    </cfRule>
    <cfRule type="cellIs" dxfId="4" priority="3" operator="equal">
      <formula>"High"</formula>
    </cfRule>
  </conditionalFormatting>
  <conditionalFormatting sqref="D14:D55">
    <cfRule type="cellIs" dxfId="3" priority="4" operator="equal">
      <formula>"Not Started"</formula>
    </cfRule>
    <cfRule type="cellIs" dxfId="2" priority="5" operator="equal">
      <formula>"In Progress"</formula>
    </cfRule>
    <cfRule type="cellIs" dxfId="1" priority="6" operator="equal">
      <formula>"Complete"</formula>
    </cfRule>
    <cfRule type="cellIs" dxfId="0" priority="7" operator="equal">
      <formula>"Behind"</formula>
    </cfRule>
  </conditionalFormatting>
  <dataValidations count="2">
    <dataValidation type="list" allowBlank="1" showInputMessage="1" showErrorMessage="1" sqref="E14:E55" xr:uid="{76A3B2D6-FC65-4352-A6BE-8A2512424720}">
      <formula1>"High, Medium, Low"</formula1>
    </dataValidation>
    <dataValidation type="list" allowBlank="1" showInputMessage="1" showErrorMessage="1" sqref="D14:D55" xr:uid="{F9890881-8AF3-4AAC-83A4-E869D2C309BA}">
      <formula1>"Not Started, In Progress, Behind, Complete"</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7389A-E6A4-40C2-8AAF-D76D4AB3D46F}">
  <dimension ref="A1:HL43"/>
  <sheetViews>
    <sheetView tabSelected="1" zoomScale="115" zoomScaleNormal="115" workbookViewId="0">
      <pane xSplit="4" ySplit="3" topLeftCell="EL4" activePane="bottomRight" state="frozen"/>
      <selection pane="topRight" activeCell="D1" sqref="D1"/>
      <selection pane="bottomLeft" activeCell="A3" sqref="A3"/>
      <selection pane="bottomRight" activeCell="FE16" sqref="FE16"/>
    </sheetView>
  </sheetViews>
  <sheetFormatPr defaultRowHeight="15" x14ac:dyDescent="0.25"/>
  <cols>
    <col min="1" max="1" width="4.140625" customWidth="1"/>
    <col min="2" max="2" width="12.42578125" customWidth="1"/>
    <col min="3" max="3" width="11.140625" customWidth="1"/>
    <col min="4" max="4" width="33.28515625" customWidth="1"/>
    <col min="5" max="116" width="4.7109375" style="11" hidden="1" customWidth="1"/>
    <col min="117" max="220" width="4.7109375" style="11" customWidth="1"/>
  </cols>
  <sheetData>
    <row r="1" spans="1:220" x14ac:dyDescent="0.25">
      <c r="A1" s="4" t="s">
        <v>27</v>
      </c>
      <c r="B1" s="7" t="s">
        <v>1</v>
      </c>
      <c r="C1" s="54" t="s">
        <v>28</v>
      </c>
      <c r="D1" s="8" t="s">
        <v>79</v>
      </c>
      <c r="E1" s="6">
        <v>44018</v>
      </c>
      <c r="F1" s="6">
        <v>44019</v>
      </c>
      <c r="G1" s="6">
        <v>44020</v>
      </c>
      <c r="H1" s="6">
        <v>44021</v>
      </c>
      <c r="I1" s="6">
        <v>44022</v>
      </c>
      <c r="J1" s="6">
        <v>44023</v>
      </c>
      <c r="K1" s="6">
        <v>44024</v>
      </c>
      <c r="L1" s="6">
        <v>44025</v>
      </c>
      <c r="M1" s="6">
        <v>44026</v>
      </c>
      <c r="N1" s="6">
        <v>44027</v>
      </c>
      <c r="O1" s="6">
        <v>44028</v>
      </c>
      <c r="P1" s="6">
        <v>44029</v>
      </c>
      <c r="Q1" s="6">
        <v>44030</v>
      </c>
      <c r="R1" s="6">
        <v>44031</v>
      </c>
      <c r="S1" s="6">
        <v>44032</v>
      </c>
      <c r="T1" s="6">
        <v>44033</v>
      </c>
      <c r="U1" s="6">
        <v>44034</v>
      </c>
      <c r="V1" s="6">
        <v>44035</v>
      </c>
      <c r="W1" s="6">
        <v>44036</v>
      </c>
      <c r="X1" s="6">
        <v>44037</v>
      </c>
      <c r="Y1" s="6">
        <v>44038</v>
      </c>
      <c r="Z1" s="6">
        <v>44039</v>
      </c>
      <c r="AA1" s="6">
        <v>44040</v>
      </c>
      <c r="AB1" s="6">
        <v>44041</v>
      </c>
      <c r="AC1" s="6">
        <v>44042</v>
      </c>
      <c r="AD1" s="6">
        <v>44043</v>
      </c>
      <c r="AE1" s="6">
        <v>44044</v>
      </c>
      <c r="AF1" s="6">
        <v>44045</v>
      </c>
      <c r="AG1" s="6">
        <v>44046</v>
      </c>
      <c r="AH1" s="6">
        <v>44047</v>
      </c>
      <c r="AI1" s="6">
        <v>44048</v>
      </c>
      <c r="AJ1" s="6">
        <v>44049</v>
      </c>
      <c r="AK1" s="6">
        <v>44050</v>
      </c>
      <c r="AL1" s="6">
        <v>44051</v>
      </c>
      <c r="AM1" s="6">
        <v>44052</v>
      </c>
      <c r="AN1" s="6">
        <v>44053</v>
      </c>
      <c r="AO1" s="6">
        <v>44054</v>
      </c>
      <c r="AP1" s="6">
        <v>44055</v>
      </c>
      <c r="AQ1" s="6">
        <v>44056</v>
      </c>
      <c r="AR1" s="6">
        <v>44057</v>
      </c>
      <c r="AS1" s="6">
        <v>44058</v>
      </c>
      <c r="AT1" s="6">
        <v>44059</v>
      </c>
      <c r="AU1" s="6">
        <v>44060</v>
      </c>
      <c r="AV1" s="6">
        <v>44061</v>
      </c>
      <c r="AW1" s="6">
        <v>44062</v>
      </c>
      <c r="AX1" s="6">
        <v>44063</v>
      </c>
      <c r="AY1" s="6">
        <v>44064</v>
      </c>
      <c r="AZ1" s="6">
        <v>44065</v>
      </c>
      <c r="BA1" s="6">
        <v>44066</v>
      </c>
      <c r="BB1" s="6">
        <v>44067</v>
      </c>
      <c r="BC1" s="6">
        <v>44068</v>
      </c>
      <c r="BD1" s="6">
        <v>44069</v>
      </c>
      <c r="BE1" s="6">
        <v>44070</v>
      </c>
      <c r="BF1" s="6">
        <v>44071</v>
      </c>
      <c r="BG1" s="6">
        <v>44072</v>
      </c>
      <c r="BH1" s="6">
        <v>44073</v>
      </c>
      <c r="BI1" s="6">
        <v>44074</v>
      </c>
      <c r="BJ1" s="6">
        <v>44075</v>
      </c>
      <c r="BK1" s="6">
        <v>44076</v>
      </c>
      <c r="BL1" s="6">
        <v>44077</v>
      </c>
      <c r="BM1" s="6">
        <v>44078</v>
      </c>
      <c r="BN1" s="6">
        <v>44079</v>
      </c>
      <c r="BO1" s="6">
        <v>44080</v>
      </c>
      <c r="BP1" s="6">
        <v>44081</v>
      </c>
      <c r="BQ1" s="6">
        <v>44082</v>
      </c>
      <c r="BR1" s="6">
        <v>44083</v>
      </c>
      <c r="BS1" s="6">
        <v>44084</v>
      </c>
      <c r="BT1" s="6">
        <v>44085</v>
      </c>
      <c r="BU1" s="6">
        <v>44086</v>
      </c>
      <c r="BV1" s="6">
        <v>44087</v>
      </c>
      <c r="BW1" s="6">
        <v>44088</v>
      </c>
      <c r="BX1" s="6">
        <v>44089</v>
      </c>
      <c r="BY1" s="6">
        <v>44090</v>
      </c>
      <c r="BZ1" s="6">
        <v>44091</v>
      </c>
      <c r="CA1" s="6">
        <v>44092</v>
      </c>
      <c r="CB1" s="6">
        <v>44093</v>
      </c>
      <c r="CC1" s="6">
        <v>44094</v>
      </c>
      <c r="CD1" s="6">
        <v>44095</v>
      </c>
      <c r="CE1" s="6">
        <v>44096</v>
      </c>
      <c r="CF1" s="6">
        <v>44097</v>
      </c>
      <c r="CG1" s="6">
        <v>44098</v>
      </c>
      <c r="CH1" s="6">
        <v>44099</v>
      </c>
      <c r="CI1" s="6">
        <v>44100</v>
      </c>
      <c r="CJ1" s="6">
        <v>44101</v>
      </c>
      <c r="CK1" s="6">
        <v>44102</v>
      </c>
      <c r="CL1" s="6">
        <v>44103</v>
      </c>
      <c r="CM1" s="6">
        <v>44104</v>
      </c>
      <c r="CN1" s="6">
        <v>44105</v>
      </c>
      <c r="CO1" s="6">
        <v>44106</v>
      </c>
      <c r="CP1" s="6">
        <v>44107</v>
      </c>
      <c r="CQ1" s="6">
        <v>44108</v>
      </c>
      <c r="CR1" s="6">
        <v>44109</v>
      </c>
      <c r="CS1" s="6">
        <v>44110</v>
      </c>
      <c r="CT1" s="6">
        <v>44111</v>
      </c>
      <c r="CU1" s="6">
        <v>44112</v>
      </c>
      <c r="CV1" s="6">
        <v>44113</v>
      </c>
      <c r="CW1" s="6">
        <v>44114</v>
      </c>
      <c r="CX1" s="6">
        <v>44115</v>
      </c>
      <c r="CY1" s="6">
        <v>44116</v>
      </c>
      <c r="CZ1" s="6">
        <v>44117</v>
      </c>
      <c r="DA1" s="6">
        <v>44118</v>
      </c>
      <c r="DB1" s="6">
        <v>44119</v>
      </c>
      <c r="DC1" s="6">
        <v>44120</v>
      </c>
      <c r="DD1" s="6">
        <v>44121</v>
      </c>
      <c r="DE1" s="6">
        <v>44122</v>
      </c>
      <c r="DF1" s="6">
        <v>44123</v>
      </c>
      <c r="DG1" s="6">
        <v>44124</v>
      </c>
      <c r="DH1" s="6">
        <v>44125</v>
      </c>
      <c r="DI1" s="6">
        <v>44126</v>
      </c>
      <c r="DJ1" s="6">
        <v>44127</v>
      </c>
      <c r="DK1" s="6">
        <v>44128</v>
      </c>
      <c r="DL1" s="6">
        <v>44129</v>
      </c>
      <c r="DM1" s="6">
        <v>44130</v>
      </c>
      <c r="DN1" s="5">
        <v>44131</v>
      </c>
      <c r="DO1" s="5">
        <v>44132</v>
      </c>
      <c r="DP1" s="5">
        <v>44133</v>
      </c>
      <c r="DQ1" s="5">
        <v>44134</v>
      </c>
      <c r="DR1" s="6">
        <v>44135</v>
      </c>
      <c r="DS1" s="6">
        <v>44136</v>
      </c>
      <c r="DT1" s="5">
        <v>44137</v>
      </c>
      <c r="DU1" s="5">
        <v>44138</v>
      </c>
      <c r="DV1" s="5">
        <v>44139</v>
      </c>
      <c r="DW1" s="5">
        <v>44140</v>
      </c>
      <c r="DX1" s="5">
        <v>44141</v>
      </c>
      <c r="DY1" s="6">
        <v>44142</v>
      </c>
      <c r="DZ1" s="6">
        <v>44143</v>
      </c>
      <c r="EA1" s="5">
        <v>44144</v>
      </c>
      <c r="EB1" s="5">
        <v>44145</v>
      </c>
      <c r="EC1" s="5">
        <v>44146</v>
      </c>
      <c r="ED1" s="5">
        <v>44147</v>
      </c>
      <c r="EE1" s="5">
        <v>44148</v>
      </c>
      <c r="EF1" s="6">
        <v>44149</v>
      </c>
      <c r="EG1" s="6">
        <v>44150</v>
      </c>
      <c r="EH1" s="5">
        <v>44151</v>
      </c>
      <c r="EI1" s="5">
        <v>44152</v>
      </c>
      <c r="EJ1" s="5">
        <v>44153</v>
      </c>
      <c r="EK1" s="5">
        <v>44154</v>
      </c>
      <c r="EL1" s="5">
        <v>44155</v>
      </c>
      <c r="EM1" s="6">
        <v>44156</v>
      </c>
      <c r="EN1" s="6">
        <v>44157</v>
      </c>
      <c r="EO1" s="5">
        <v>44158</v>
      </c>
      <c r="EP1" s="5">
        <v>44159</v>
      </c>
      <c r="EQ1" s="5">
        <v>44160</v>
      </c>
      <c r="ER1" s="6">
        <v>44161</v>
      </c>
      <c r="ES1" s="6">
        <v>44162</v>
      </c>
      <c r="ET1" s="6">
        <v>44163</v>
      </c>
      <c r="EU1" s="6">
        <v>44164</v>
      </c>
      <c r="EV1" s="5">
        <v>44165</v>
      </c>
      <c r="EW1" s="5">
        <v>44166</v>
      </c>
      <c r="EX1" s="5">
        <v>44167</v>
      </c>
      <c r="EY1" s="5">
        <v>44168</v>
      </c>
      <c r="EZ1" s="5">
        <v>44169</v>
      </c>
      <c r="FA1" s="6">
        <v>44170</v>
      </c>
      <c r="FB1" s="6">
        <v>44171</v>
      </c>
      <c r="FC1" s="5">
        <v>44172</v>
      </c>
      <c r="FD1" s="5">
        <v>44173</v>
      </c>
      <c r="FE1" s="5">
        <v>44174</v>
      </c>
      <c r="FF1" s="5">
        <v>44175</v>
      </c>
      <c r="FG1" s="5">
        <v>44176</v>
      </c>
      <c r="FH1" s="6">
        <v>44177</v>
      </c>
      <c r="FI1" s="6">
        <v>44178</v>
      </c>
      <c r="FJ1" s="5">
        <v>44179</v>
      </c>
      <c r="FK1" s="5">
        <v>44180</v>
      </c>
      <c r="FL1" s="5">
        <v>44181</v>
      </c>
      <c r="FM1" s="5">
        <v>44182</v>
      </c>
      <c r="FN1" s="5">
        <v>44183</v>
      </c>
      <c r="FO1" s="6">
        <v>44184</v>
      </c>
      <c r="FP1" s="6">
        <v>44185</v>
      </c>
      <c r="FQ1" s="5">
        <v>44186</v>
      </c>
      <c r="FR1" s="5">
        <v>44187</v>
      </c>
      <c r="FS1" s="5">
        <v>44188</v>
      </c>
      <c r="FT1" s="5">
        <v>44189</v>
      </c>
      <c r="FU1" s="5">
        <v>44190</v>
      </c>
      <c r="FV1" s="6">
        <v>44191</v>
      </c>
      <c r="FW1" s="6">
        <v>44192</v>
      </c>
      <c r="FX1" s="5">
        <v>44193</v>
      </c>
      <c r="FY1" s="5">
        <v>44194</v>
      </c>
      <c r="FZ1" s="5">
        <v>44195</v>
      </c>
      <c r="GA1" s="5">
        <v>44196</v>
      </c>
      <c r="GB1" s="5">
        <v>44197</v>
      </c>
      <c r="GC1" s="6">
        <v>44198</v>
      </c>
      <c r="GD1" s="6">
        <v>44199</v>
      </c>
      <c r="GE1" s="5">
        <v>44200</v>
      </c>
      <c r="GF1" s="5">
        <v>44201</v>
      </c>
      <c r="GG1" s="5">
        <v>44202</v>
      </c>
      <c r="GH1" s="5">
        <v>44203</v>
      </c>
      <c r="GI1" s="5">
        <v>44204</v>
      </c>
      <c r="GJ1" s="6">
        <v>44205</v>
      </c>
      <c r="GK1" s="6">
        <v>44206</v>
      </c>
      <c r="GL1" s="5">
        <v>44207</v>
      </c>
      <c r="GM1" s="5">
        <v>44208</v>
      </c>
      <c r="GN1" s="5">
        <v>44209</v>
      </c>
      <c r="GO1" s="5">
        <v>44210</v>
      </c>
      <c r="GP1" s="5">
        <v>44211</v>
      </c>
      <c r="GQ1" s="6">
        <v>44212</v>
      </c>
      <c r="GR1" s="6">
        <v>44213</v>
      </c>
      <c r="GS1" s="5">
        <v>44214</v>
      </c>
      <c r="GT1" s="5">
        <v>44215</v>
      </c>
      <c r="GU1" s="5">
        <v>44216</v>
      </c>
      <c r="GV1" s="5">
        <v>44217</v>
      </c>
      <c r="GW1" s="5">
        <v>44218</v>
      </c>
      <c r="GX1" s="6">
        <v>44219</v>
      </c>
      <c r="GY1" s="6">
        <v>44220</v>
      </c>
      <c r="GZ1" s="5">
        <v>44221</v>
      </c>
      <c r="HA1" s="5">
        <v>44222</v>
      </c>
      <c r="HB1" s="5">
        <v>44223</v>
      </c>
      <c r="HC1" s="5">
        <v>44224</v>
      </c>
      <c r="HD1" s="5">
        <v>44225</v>
      </c>
      <c r="HE1" s="6">
        <v>44226</v>
      </c>
      <c r="HF1" s="6">
        <v>44227</v>
      </c>
      <c r="HG1" s="5">
        <v>44228</v>
      </c>
      <c r="HH1" s="5">
        <v>44229</v>
      </c>
      <c r="HI1" s="5">
        <v>44230</v>
      </c>
      <c r="HJ1" s="5">
        <v>44231</v>
      </c>
      <c r="HK1" s="5">
        <v>44232</v>
      </c>
      <c r="HL1" s="6">
        <v>44233</v>
      </c>
    </row>
    <row r="2" spans="1:220" ht="11.45" customHeight="1" x14ac:dyDescent="0.25">
      <c r="A2" s="70" t="s">
        <v>29</v>
      </c>
      <c r="B2" s="70"/>
      <c r="C2" s="70"/>
      <c r="D2" s="70"/>
      <c r="E2" s="52"/>
      <c r="F2" s="9"/>
      <c r="G2" s="9"/>
      <c r="H2" s="9"/>
      <c r="I2" s="9"/>
      <c r="J2" s="10"/>
      <c r="K2" s="10"/>
      <c r="L2" s="9"/>
      <c r="M2" s="9"/>
      <c r="N2" s="9"/>
      <c r="O2" s="9"/>
      <c r="P2" s="9"/>
      <c r="Q2" s="10"/>
      <c r="R2" s="10"/>
      <c r="S2" s="9"/>
      <c r="T2" s="9"/>
      <c r="U2" s="9"/>
      <c r="V2" s="9"/>
      <c r="W2" s="9"/>
      <c r="X2" s="10"/>
      <c r="Y2" s="10"/>
      <c r="Z2" s="9"/>
      <c r="AA2" s="9"/>
      <c r="AB2" s="9"/>
      <c r="AC2" s="9"/>
      <c r="AD2" s="9"/>
      <c r="AE2" s="10"/>
      <c r="AF2" s="10"/>
      <c r="AG2" s="9"/>
      <c r="AH2" s="9"/>
      <c r="AI2" s="9"/>
      <c r="AJ2" s="9"/>
      <c r="AK2" s="9"/>
      <c r="AL2" s="10"/>
      <c r="AM2" s="10"/>
      <c r="AN2" s="9"/>
      <c r="AO2" s="9"/>
      <c r="AP2" s="9"/>
      <c r="AQ2" s="9"/>
      <c r="AR2" s="9"/>
      <c r="AS2" s="10"/>
      <c r="AT2" s="10"/>
      <c r="AU2" s="9"/>
      <c r="AV2" s="9"/>
      <c r="AW2" s="9"/>
      <c r="AX2" s="9"/>
      <c r="AY2" s="9"/>
      <c r="AZ2" s="10"/>
      <c r="BA2" s="10"/>
      <c r="BB2" s="9"/>
      <c r="BC2" s="9"/>
      <c r="BD2" s="68" t="s">
        <v>74</v>
      </c>
      <c r="BE2" s="68"/>
      <c r="BF2" s="68"/>
      <c r="BG2" s="68"/>
      <c r="BH2" s="68"/>
      <c r="BI2" s="68"/>
      <c r="BJ2" s="9"/>
      <c r="BK2" s="9"/>
      <c r="BL2" s="9"/>
      <c r="BM2" s="9"/>
      <c r="BN2" s="10"/>
      <c r="BO2" s="10"/>
      <c r="BP2" s="9"/>
      <c r="BQ2" s="9"/>
      <c r="BR2" s="9"/>
      <c r="BS2" s="9"/>
      <c r="BT2" s="9"/>
      <c r="BU2" s="10"/>
      <c r="BV2" s="10"/>
      <c r="BW2" s="9"/>
      <c r="BX2" s="9"/>
      <c r="BY2" s="9"/>
      <c r="BZ2" s="9"/>
      <c r="CA2" s="9"/>
      <c r="CB2" s="10"/>
      <c r="CC2" s="10"/>
      <c r="CD2" s="9"/>
      <c r="CE2" s="9"/>
      <c r="CF2" s="9"/>
      <c r="CG2" s="9"/>
      <c r="CH2" s="9"/>
      <c r="CI2" s="10"/>
      <c r="CJ2" s="10"/>
      <c r="CK2" s="9"/>
      <c r="CL2" s="9"/>
      <c r="CM2" s="9"/>
      <c r="CN2" s="9"/>
      <c r="CO2" s="9"/>
      <c r="CP2" s="10"/>
      <c r="CQ2" s="10"/>
      <c r="CR2" s="9"/>
      <c r="CS2" s="9"/>
      <c r="CT2" s="9"/>
      <c r="CU2" s="9"/>
      <c r="CV2" s="9"/>
      <c r="CW2" s="10"/>
      <c r="CX2" s="10"/>
      <c r="CY2" s="9"/>
      <c r="CZ2" s="9"/>
      <c r="DA2" s="9"/>
      <c r="DB2" s="9"/>
      <c r="DC2" s="9"/>
      <c r="DD2" s="10"/>
      <c r="DE2" s="10"/>
      <c r="DF2" s="9"/>
      <c r="DG2" s="9"/>
      <c r="DH2" s="9"/>
      <c r="DI2" s="9"/>
      <c r="DJ2" s="9"/>
      <c r="DK2" s="10"/>
      <c r="DL2" s="10"/>
      <c r="DM2" s="9"/>
      <c r="DN2" s="9"/>
      <c r="DO2" s="9"/>
      <c r="DP2" s="9"/>
      <c r="DQ2" s="9"/>
      <c r="DR2" s="10"/>
      <c r="DS2" s="10"/>
      <c r="DT2" s="9"/>
      <c r="DU2" s="9"/>
      <c r="DV2" s="9"/>
      <c r="DW2" s="9"/>
      <c r="DX2" s="9"/>
      <c r="DY2" s="10"/>
      <c r="DZ2" s="10"/>
      <c r="EA2" s="9"/>
      <c r="EB2" s="9"/>
      <c r="EC2" s="9"/>
      <c r="ED2" s="9"/>
      <c r="EE2" s="9"/>
      <c r="EF2" s="10"/>
      <c r="EG2" s="10"/>
      <c r="EH2" s="9"/>
      <c r="EI2" s="9"/>
      <c r="EJ2" s="9"/>
      <c r="EK2" s="9"/>
      <c r="EL2" s="9"/>
      <c r="EM2" s="10"/>
      <c r="EN2" s="10"/>
      <c r="EO2" s="9"/>
      <c r="EP2" s="9"/>
      <c r="EQ2" s="9"/>
      <c r="ER2" s="10"/>
      <c r="ES2" s="10"/>
      <c r="ET2" s="10"/>
      <c r="EU2" s="10"/>
      <c r="EV2" s="9"/>
      <c r="EW2" s="9"/>
      <c r="EX2" s="9"/>
      <c r="EY2" s="9"/>
      <c r="EZ2" s="9"/>
      <c r="FA2" s="10"/>
      <c r="FB2" s="10"/>
      <c r="FC2" s="9"/>
      <c r="FD2" s="9"/>
      <c r="FE2" s="9"/>
      <c r="FF2" s="66" t="s">
        <v>85</v>
      </c>
      <c r="FG2" s="66"/>
      <c r="FH2" s="66"/>
      <c r="FI2" s="66"/>
      <c r="FJ2" s="66"/>
      <c r="FK2" s="66"/>
      <c r="FL2" s="66"/>
      <c r="FM2" s="66"/>
      <c r="FN2" s="66"/>
      <c r="FO2" s="66"/>
      <c r="FP2" s="66"/>
      <c r="FQ2" s="66"/>
      <c r="FR2" s="66"/>
      <c r="FS2" s="66"/>
      <c r="FT2" s="66"/>
      <c r="FU2" s="66"/>
      <c r="FV2" s="10"/>
      <c r="FW2" s="10"/>
      <c r="FX2" s="9"/>
      <c r="FY2" s="9"/>
      <c r="FZ2" s="9"/>
      <c r="GA2" s="9"/>
      <c r="GB2" s="9"/>
      <c r="GC2" s="10"/>
      <c r="GD2" s="10"/>
      <c r="GE2" s="9"/>
      <c r="GF2" s="9"/>
      <c r="GG2" s="9"/>
      <c r="GH2" s="9"/>
      <c r="GI2" s="9"/>
      <c r="GJ2" s="10"/>
      <c r="GK2" s="10"/>
      <c r="GL2" s="9"/>
      <c r="GM2" s="9"/>
      <c r="GN2" s="9"/>
      <c r="GO2" s="9"/>
      <c r="GP2" s="9"/>
      <c r="GQ2" s="10"/>
      <c r="GR2" s="10"/>
      <c r="GS2" s="9"/>
      <c r="GT2" s="9"/>
      <c r="GU2" s="9"/>
      <c r="GV2" s="9"/>
      <c r="GW2" s="9"/>
      <c r="GX2" s="10"/>
      <c r="GY2" s="10"/>
      <c r="GZ2" s="9"/>
      <c r="HA2" s="9"/>
      <c r="HB2" s="9"/>
      <c r="HC2" s="9"/>
      <c r="HD2" s="9"/>
      <c r="HE2" s="10"/>
      <c r="HF2" s="10"/>
      <c r="HG2" s="9"/>
      <c r="HH2" s="9"/>
      <c r="HI2" s="9"/>
      <c r="HJ2" s="9"/>
      <c r="HK2" s="9"/>
      <c r="HL2" s="10"/>
    </row>
    <row r="3" spans="1:220" ht="11.45" customHeight="1" x14ac:dyDescent="0.25">
      <c r="A3" s="70"/>
      <c r="B3" s="70"/>
      <c r="C3" s="70"/>
      <c r="D3" s="70"/>
      <c r="E3" s="9"/>
      <c r="F3" s="9"/>
      <c r="G3" s="9"/>
      <c r="H3" s="9"/>
      <c r="I3" s="9"/>
      <c r="J3" s="10"/>
      <c r="K3" s="10"/>
      <c r="L3" s="9"/>
      <c r="M3" s="9"/>
      <c r="N3" s="9"/>
      <c r="O3" s="68" t="s">
        <v>30</v>
      </c>
      <c r="P3" s="68"/>
      <c r="Q3" s="10"/>
      <c r="R3" s="10"/>
      <c r="S3" s="9"/>
      <c r="T3" s="9"/>
      <c r="U3" s="9"/>
      <c r="V3" s="68" t="s">
        <v>59</v>
      </c>
      <c r="W3" s="68"/>
      <c r="X3" s="68"/>
      <c r="Y3" s="68"/>
      <c r="Z3" s="68"/>
      <c r="AA3" s="68"/>
      <c r="AB3" s="68"/>
      <c r="AC3" s="68"/>
      <c r="AD3" s="68"/>
      <c r="AE3" s="10"/>
      <c r="AF3" s="10"/>
      <c r="AG3" s="9"/>
      <c r="AH3" s="9"/>
      <c r="AI3" s="9"/>
      <c r="AJ3" s="9"/>
      <c r="AK3" s="9"/>
      <c r="AL3" s="10"/>
      <c r="AM3" s="10"/>
      <c r="AN3" s="9"/>
      <c r="AO3" s="9"/>
      <c r="AP3" s="9"/>
      <c r="AQ3" s="9"/>
      <c r="AR3" s="9"/>
      <c r="AS3" s="10"/>
      <c r="AT3" s="10"/>
      <c r="AU3" s="9"/>
      <c r="AV3" s="9"/>
      <c r="AW3" s="9"/>
      <c r="AX3" s="9"/>
      <c r="AY3" s="9"/>
      <c r="AZ3" s="10"/>
      <c r="BA3" s="10"/>
      <c r="BB3" s="9"/>
      <c r="BC3" s="9"/>
      <c r="BD3" s="9"/>
      <c r="BE3" s="9"/>
      <c r="BF3" s="9"/>
      <c r="BG3" s="10"/>
      <c r="BH3" s="10"/>
      <c r="BI3" s="9"/>
      <c r="BJ3" s="9"/>
      <c r="BK3" s="9"/>
      <c r="BL3" s="9"/>
      <c r="BM3" s="9"/>
      <c r="BN3" s="10"/>
      <c r="BO3" s="10"/>
      <c r="BP3" s="9"/>
      <c r="BQ3" s="9"/>
      <c r="BR3" s="9"/>
      <c r="BS3" s="9"/>
      <c r="BT3" s="9"/>
      <c r="BU3" s="10"/>
      <c r="BV3" s="10"/>
      <c r="BW3" s="9"/>
      <c r="BX3" s="9"/>
      <c r="BY3" s="9"/>
      <c r="BZ3" s="9"/>
      <c r="CA3" s="9"/>
      <c r="CB3" s="10"/>
      <c r="CC3" s="10"/>
      <c r="CD3" s="9"/>
      <c r="CE3" s="9"/>
      <c r="CF3" s="9"/>
      <c r="CG3" s="9"/>
      <c r="CH3" s="9"/>
      <c r="CI3" s="10"/>
      <c r="CJ3" s="10"/>
      <c r="CK3" s="9"/>
      <c r="CL3" s="9"/>
      <c r="CM3" s="9"/>
      <c r="CN3" s="9"/>
      <c r="CO3" s="9"/>
      <c r="CP3" s="10"/>
      <c r="CQ3" s="10"/>
      <c r="CR3" s="9"/>
      <c r="CS3" s="9"/>
      <c r="CT3" s="9"/>
      <c r="CU3" s="9"/>
      <c r="CV3" s="9"/>
      <c r="CW3" s="10"/>
      <c r="CX3" s="10"/>
      <c r="CY3" s="9"/>
      <c r="CZ3" s="9"/>
      <c r="DA3" s="9"/>
      <c r="DB3" s="9"/>
      <c r="DC3" s="9"/>
      <c r="DD3" s="10"/>
      <c r="DE3" s="10"/>
      <c r="DF3" s="9"/>
      <c r="DG3" s="9"/>
      <c r="DH3" s="9"/>
      <c r="DI3" s="9"/>
      <c r="DJ3" s="9"/>
      <c r="DK3" s="10"/>
      <c r="DL3" s="10"/>
      <c r="DM3" s="9"/>
      <c r="DN3" s="9"/>
      <c r="DO3" s="9"/>
      <c r="DP3" s="9"/>
      <c r="DQ3" s="9"/>
      <c r="DR3" s="10"/>
      <c r="DS3" s="10"/>
      <c r="DT3" s="9"/>
      <c r="DU3" s="9"/>
      <c r="DV3" s="9"/>
      <c r="DW3" s="9"/>
      <c r="DX3" s="9"/>
      <c r="DY3" s="10"/>
      <c r="DZ3" s="10"/>
      <c r="EA3" s="9"/>
      <c r="EB3" s="9"/>
      <c r="EC3" s="9"/>
      <c r="ED3" s="9"/>
      <c r="EE3" s="9"/>
      <c r="EF3" s="10"/>
      <c r="EG3" s="10"/>
      <c r="EH3" s="9"/>
      <c r="EI3" s="9"/>
      <c r="EJ3" s="9"/>
      <c r="EK3" s="9"/>
      <c r="EL3" s="9"/>
      <c r="EM3" s="10"/>
      <c r="EN3" s="10"/>
      <c r="EO3" s="9"/>
      <c r="EP3" s="9"/>
      <c r="EQ3" s="9"/>
      <c r="ER3" s="10"/>
      <c r="ES3" s="10"/>
      <c r="ET3" s="10"/>
      <c r="EU3" s="10"/>
      <c r="EV3" s="9"/>
      <c r="EW3" s="9"/>
      <c r="EX3" s="9"/>
      <c r="EY3" s="9"/>
      <c r="EZ3" s="9"/>
      <c r="FA3" s="10"/>
      <c r="FB3" s="10"/>
      <c r="FC3" s="9"/>
      <c r="FD3" s="9"/>
      <c r="FE3" s="9"/>
      <c r="FF3" s="9"/>
      <c r="FG3" s="9"/>
      <c r="FH3" s="10"/>
      <c r="FI3" s="10"/>
      <c r="FJ3" s="9"/>
      <c r="FK3" s="9"/>
      <c r="FL3" s="9"/>
      <c r="FM3" s="9"/>
      <c r="FN3" s="9"/>
      <c r="FO3" s="10"/>
      <c r="FP3" s="10"/>
      <c r="FQ3" s="9"/>
      <c r="FR3" s="9"/>
      <c r="FS3" s="9"/>
      <c r="FT3" s="9"/>
      <c r="FU3" s="9"/>
      <c r="FV3" s="10"/>
      <c r="FW3" s="10"/>
      <c r="FX3" s="9"/>
      <c r="FY3" s="9"/>
      <c r="FZ3" s="9"/>
      <c r="GA3" s="9"/>
      <c r="GB3" s="9"/>
      <c r="GC3" s="10"/>
      <c r="GD3" s="10"/>
      <c r="GE3" s="9"/>
      <c r="GF3" s="9"/>
      <c r="GG3" s="9"/>
      <c r="GH3" s="9"/>
      <c r="GI3" s="9"/>
      <c r="GJ3" s="10"/>
      <c r="GK3" s="10"/>
      <c r="GL3" s="9"/>
      <c r="GM3" s="9"/>
      <c r="GN3" s="9"/>
      <c r="GO3" s="9"/>
      <c r="GP3" s="9"/>
      <c r="GQ3" s="10"/>
      <c r="GR3" s="10"/>
      <c r="GS3" s="9"/>
      <c r="GT3" s="9"/>
      <c r="GU3" s="9"/>
      <c r="GV3" s="9"/>
      <c r="GW3" s="9"/>
      <c r="GX3" s="10"/>
      <c r="GY3" s="10"/>
      <c r="GZ3" s="9"/>
      <c r="HA3" s="9"/>
      <c r="HB3" s="9"/>
      <c r="HC3" s="9"/>
      <c r="HD3" s="9"/>
      <c r="HE3" s="10"/>
      <c r="HF3" s="10"/>
      <c r="HG3" s="9"/>
      <c r="HH3" s="9"/>
      <c r="HI3" s="9"/>
      <c r="HJ3" s="9"/>
      <c r="HK3" s="9"/>
      <c r="HL3" s="10"/>
    </row>
    <row r="4" spans="1:220" x14ac:dyDescent="0.25">
      <c r="DK4" s="10"/>
      <c r="DL4" s="10"/>
    </row>
    <row r="5" spans="1:220" x14ac:dyDescent="0.25">
      <c r="A5" s="69" t="s">
        <v>80</v>
      </c>
      <c r="B5" s="17" t="s">
        <v>81</v>
      </c>
      <c r="C5" s="17"/>
      <c r="D5" s="17"/>
      <c r="I5" s="13" t="s">
        <v>31</v>
      </c>
      <c r="J5" s="13"/>
      <c r="K5" s="13"/>
      <c r="L5" s="13"/>
      <c r="M5" s="13"/>
      <c r="N5" s="13" t="s">
        <v>31</v>
      </c>
      <c r="O5" s="13"/>
      <c r="P5" s="13"/>
      <c r="Q5" s="13"/>
      <c r="R5" s="13"/>
      <c r="S5" s="13"/>
      <c r="T5" s="13" t="s">
        <v>31</v>
      </c>
      <c r="U5" s="13"/>
      <c r="V5" s="13"/>
      <c r="W5" s="13"/>
      <c r="X5" s="13"/>
      <c r="Y5" s="13"/>
      <c r="Z5" s="13" t="s">
        <v>31</v>
      </c>
      <c r="AA5" s="13"/>
      <c r="AB5" s="13"/>
      <c r="AC5" s="13"/>
      <c r="AD5" s="13"/>
      <c r="AE5" s="13"/>
      <c r="AF5" s="13"/>
      <c r="AG5" s="15" t="s">
        <v>32</v>
      </c>
      <c r="AH5" s="15"/>
      <c r="AI5" s="13" t="s">
        <v>33</v>
      </c>
      <c r="AJ5" s="13"/>
      <c r="AK5" s="14"/>
      <c r="AL5" s="14"/>
      <c r="AM5" s="14"/>
      <c r="AN5" s="14"/>
      <c r="CP5" s="12"/>
      <c r="CQ5" s="12"/>
      <c r="CW5" s="12"/>
      <c r="CX5" s="12"/>
      <c r="DD5" s="12"/>
      <c r="DE5" s="12"/>
      <c r="DK5" s="10"/>
      <c r="DL5" s="10"/>
      <c r="DM5" s="63" t="s">
        <v>34</v>
      </c>
      <c r="DR5" s="12"/>
      <c r="DS5" s="12"/>
      <c r="DY5" s="10"/>
      <c r="DZ5" s="10"/>
      <c r="EF5" s="10"/>
      <c r="EG5" s="10"/>
      <c r="EM5" s="12"/>
      <c r="EN5" s="12"/>
      <c r="ER5" s="12"/>
      <c r="ES5" s="12"/>
      <c r="ET5" s="12"/>
      <c r="EU5" s="12"/>
      <c r="FA5" s="12"/>
      <c r="FB5" s="12"/>
      <c r="FH5" s="12"/>
      <c r="FI5" s="12"/>
      <c r="FO5" s="12"/>
      <c r="FP5" s="12"/>
      <c r="FV5" s="12"/>
      <c r="FW5" s="12"/>
      <c r="GC5" s="12"/>
      <c r="GD5" s="12"/>
      <c r="GJ5" s="12"/>
      <c r="GK5" s="12"/>
      <c r="GQ5" s="12"/>
      <c r="GR5" s="12"/>
      <c r="GX5" s="12"/>
      <c r="GY5" s="12"/>
      <c r="HE5" s="12"/>
      <c r="HF5" s="12"/>
      <c r="HL5" s="12"/>
    </row>
    <row r="6" spans="1:220" x14ac:dyDescent="0.25">
      <c r="A6" s="69"/>
      <c r="B6" s="17" t="s">
        <v>0</v>
      </c>
      <c r="C6" s="17"/>
      <c r="D6" s="17"/>
      <c r="J6" s="10"/>
      <c r="K6" s="10"/>
      <c r="Q6" s="12"/>
      <c r="R6" s="12"/>
      <c r="X6" s="10"/>
      <c r="Y6" s="10"/>
      <c r="AE6" s="10"/>
      <c r="AF6" s="10"/>
      <c r="AL6" s="12"/>
      <c r="AM6" s="12"/>
      <c r="CP6" s="12"/>
      <c r="CQ6" s="12"/>
      <c r="CW6" s="12"/>
      <c r="CX6" s="12"/>
      <c r="DD6" s="12"/>
      <c r="DE6" s="12"/>
      <c r="DK6" s="12"/>
      <c r="DL6" s="12"/>
      <c r="DM6" s="67" t="s">
        <v>75</v>
      </c>
      <c r="DN6" s="15" t="s">
        <v>35</v>
      </c>
      <c r="DO6" s="15"/>
      <c r="DP6" s="15"/>
      <c r="DQ6" s="15"/>
      <c r="DR6" s="15"/>
      <c r="DS6" s="15"/>
      <c r="DT6" s="15"/>
      <c r="DU6" s="15" t="s">
        <v>35</v>
      </c>
      <c r="DV6" s="15"/>
      <c r="DW6" s="15"/>
      <c r="DX6" s="15"/>
      <c r="DY6" s="15"/>
      <c r="DZ6" s="15"/>
      <c r="EA6" s="15"/>
      <c r="EB6" s="15" t="s">
        <v>77</v>
      </c>
      <c r="EC6" s="15"/>
      <c r="ED6" s="15"/>
      <c r="EE6" s="15"/>
      <c r="EF6" s="15"/>
      <c r="EG6" s="15"/>
      <c r="EH6" s="15"/>
      <c r="EI6" s="15" t="s">
        <v>35</v>
      </c>
      <c r="EJ6" s="15"/>
      <c r="EK6" s="15"/>
      <c r="EL6" s="15"/>
      <c r="EM6" s="15"/>
      <c r="EN6" s="15"/>
      <c r="EO6" s="15"/>
      <c r="ER6" s="12"/>
      <c r="ES6" s="12"/>
      <c r="ET6" s="12"/>
      <c r="EU6" s="12"/>
      <c r="FA6" s="12"/>
      <c r="FB6" s="12"/>
      <c r="FH6" s="12"/>
      <c r="FI6" s="12"/>
      <c r="FO6" s="12"/>
      <c r="FP6" s="12"/>
      <c r="FV6" s="12"/>
      <c r="FW6" s="12"/>
      <c r="GC6" s="12"/>
      <c r="GD6" s="12"/>
      <c r="GJ6" s="12"/>
      <c r="GK6" s="12"/>
      <c r="GQ6" s="12"/>
      <c r="GR6" s="12"/>
      <c r="GX6" s="12"/>
      <c r="GY6" s="12"/>
      <c r="HE6" s="12"/>
      <c r="HF6" s="12"/>
      <c r="HL6" s="12"/>
    </row>
    <row r="7" spans="1:220" x14ac:dyDescent="0.25">
      <c r="A7" s="69"/>
      <c r="B7" s="17" t="s">
        <v>0</v>
      </c>
      <c r="C7" s="17"/>
      <c r="D7" s="17"/>
      <c r="J7" s="10"/>
      <c r="K7" s="10"/>
      <c r="Q7" s="12"/>
      <c r="R7" s="12"/>
      <c r="X7" s="10"/>
      <c r="Y7" s="10"/>
      <c r="AE7" s="10"/>
      <c r="AF7" s="10"/>
      <c r="AL7" s="12"/>
      <c r="AM7" s="12"/>
      <c r="CP7" s="12"/>
      <c r="CQ7" s="12"/>
      <c r="CW7" s="12"/>
      <c r="CX7" s="12"/>
      <c r="DD7" s="12"/>
      <c r="DE7" s="12"/>
      <c r="DK7" s="12"/>
      <c r="DL7" s="12"/>
      <c r="DM7" s="67"/>
      <c r="DN7" s="14" t="s">
        <v>36</v>
      </c>
      <c r="DO7" s="14"/>
      <c r="DP7" s="14"/>
      <c r="DQ7" s="14"/>
      <c r="DR7" s="14"/>
      <c r="DS7" s="14"/>
      <c r="DT7" s="14"/>
      <c r="DU7" s="14" t="s">
        <v>36</v>
      </c>
      <c r="DV7" s="14"/>
      <c r="DW7" s="14"/>
      <c r="DX7" s="14"/>
      <c r="DY7" s="14"/>
      <c r="DZ7" s="14"/>
      <c r="EA7" s="14"/>
      <c r="EB7" s="14" t="s">
        <v>78</v>
      </c>
      <c r="EC7" s="14"/>
      <c r="ED7" s="14"/>
      <c r="EE7" s="14"/>
      <c r="EF7" s="14"/>
      <c r="EG7" s="14"/>
      <c r="EH7" s="14"/>
      <c r="EI7" s="14" t="s">
        <v>36</v>
      </c>
      <c r="EJ7" s="14"/>
      <c r="EK7" s="14"/>
      <c r="EL7" s="14"/>
      <c r="EM7" s="14"/>
      <c r="EN7" s="14"/>
      <c r="EO7" s="14"/>
      <c r="ER7" s="12"/>
      <c r="ES7" s="12"/>
      <c r="ET7" s="12"/>
      <c r="EU7" s="12"/>
      <c r="FA7" s="12"/>
      <c r="FB7" s="12"/>
      <c r="FH7" s="12"/>
      <c r="FI7" s="12"/>
      <c r="FO7" s="12"/>
      <c r="FP7" s="12"/>
      <c r="FV7" s="12"/>
      <c r="FW7" s="12"/>
      <c r="GC7" s="12"/>
      <c r="GD7" s="12"/>
      <c r="GJ7" s="12"/>
      <c r="GK7" s="12"/>
      <c r="GQ7" s="12"/>
      <c r="GR7" s="12"/>
      <c r="GX7" s="12"/>
      <c r="GY7" s="12"/>
      <c r="HE7" s="12"/>
      <c r="HF7" s="12"/>
      <c r="HL7" s="12"/>
    </row>
    <row r="8" spans="1:220" x14ac:dyDescent="0.25">
      <c r="A8" s="69"/>
      <c r="B8" s="17" t="s">
        <v>37</v>
      </c>
      <c r="C8" s="17"/>
      <c r="D8" s="17"/>
      <c r="J8" s="10"/>
      <c r="K8" s="10"/>
      <c r="Q8" s="12"/>
      <c r="R8" s="12"/>
      <c r="X8" s="10"/>
      <c r="Y8" s="10"/>
      <c r="AE8" s="10"/>
      <c r="AF8" s="10"/>
      <c r="AL8" s="12"/>
      <c r="AM8" s="12"/>
      <c r="CP8" s="12"/>
      <c r="CQ8" s="12"/>
      <c r="CW8" s="12"/>
      <c r="CX8" s="12"/>
      <c r="DD8" s="12"/>
      <c r="DE8" s="12"/>
      <c r="DK8" s="12"/>
      <c r="DL8" s="12"/>
      <c r="DR8" s="12"/>
      <c r="DS8" s="12"/>
      <c r="DY8" s="12"/>
      <c r="DZ8" s="12"/>
      <c r="EB8" s="15" t="s">
        <v>38</v>
      </c>
      <c r="EC8" s="15"/>
      <c r="ED8" s="15"/>
      <c r="EE8" s="15"/>
      <c r="EF8" s="12"/>
      <c r="EG8" s="12"/>
      <c r="EM8" s="12"/>
      <c r="EN8" s="12"/>
      <c r="ER8" s="12"/>
      <c r="ES8" s="12"/>
      <c r="ET8" s="12"/>
      <c r="EU8" s="12"/>
      <c r="FA8" s="12"/>
      <c r="FB8" s="12"/>
      <c r="FH8" s="12"/>
      <c r="FI8" s="12"/>
      <c r="FO8" s="12"/>
      <c r="FP8" s="12"/>
      <c r="FV8" s="12"/>
      <c r="FW8" s="12"/>
      <c r="GC8" s="12"/>
      <c r="GD8" s="12"/>
      <c r="GJ8" s="12"/>
      <c r="GK8" s="12"/>
      <c r="GQ8" s="12"/>
      <c r="GR8" s="12"/>
      <c r="GX8" s="12"/>
      <c r="GY8" s="12"/>
      <c r="HE8" s="12"/>
      <c r="HF8" s="12"/>
      <c r="HL8" s="12"/>
    </row>
    <row r="9" spans="1:220" x14ac:dyDescent="0.25">
      <c r="A9" s="69"/>
      <c r="B9" s="17" t="s">
        <v>39</v>
      </c>
      <c r="C9" s="17"/>
      <c r="D9" s="17"/>
      <c r="J9" s="10"/>
      <c r="K9" s="10"/>
      <c r="Q9" s="12"/>
      <c r="R9" s="12"/>
      <c r="X9" s="10"/>
      <c r="Y9" s="10"/>
      <c r="AE9" s="10"/>
      <c r="AF9" s="10"/>
      <c r="AL9" s="12"/>
      <c r="AM9" s="12"/>
      <c r="CP9" s="12"/>
      <c r="CQ9" s="12"/>
      <c r="CW9" s="12"/>
      <c r="CX9" s="12"/>
      <c r="DD9" s="12"/>
      <c r="DE9" s="12"/>
      <c r="DK9" s="12"/>
      <c r="DL9" s="12"/>
      <c r="DR9" s="12"/>
      <c r="DS9" s="12"/>
      <c r="DY9" s="12"/>
      <c r="DZ9" s="12"/>
      <c r="EF9" s="12"/>
      <c r="EG9" s="12"/>
      <c r="EM9" s="12"/>
      <c r="EN9" s="12"/>
      <c r="EO9" s="55" t="s">
        <v>40</v>
      </c>
      <c r="ER9" s="12"/>
      <c r="ES9" s="12"/>
      <c r="ET9" s="12"/>
      <c r="EU9" s="12"/>
      <c r="FA9" s="10"/>
      <c r="FB9" s="10"/>
      <c r="FH9" s="12"/>
      <c r="FI9" s="12"/>
      <c r="FO9" s="12"/>
      <c r="FP9" s="12"/>
      <c r="FV9" s="12"/>
      <c r="FW9" s="12"/>
      <c r="GC9" s="12"/>
      <c r="GD9" s="12"/>
      <c r="GJ9" s="12"/>
      <c r="GK9" s="12"/>
      <c r="GQ9" s="12"/>
      <c r="GR9" s="12"/>
      <c r="GX9" s="12"/>
      <c r="GY9" s="12"/>
      <c r="HE9" s="12"/>
      <c r="HF9" s="12"/>
      <c r="HL9" s="12"/>
    </row>
    <row r="10" spans="1:220" x14ac:dyDescent="0.25">
      <c r="A10" s="69"/>
      <c r="B10" s="17" t="s">
        <v>41</v>
      </c>
      <c r="C10" s="17"/>
      <c r="D10" s="17"/>
      <c r="J10" s="10"/>
      <c r="K10" s="10"/>
      <c r="Q10" s="12"/>
      <c r="R10" s="12"/>
      <c r="X10" s="10"/>
      <c r="Y10" s="10"/>
      <c r="AE10" s="10"/>
      <c r="AF10" s="10"/>
      <c r="AL10" s="12"/>
      <c r="AM10" s="12"/>
      <c r="CP10" s="12"/>
      <c r="CQ10" s="12"/>
      <c r="CW10" s="12"/>
      <c r="CX10" s="12"/>
      <c r="DD10" s="12"/>
      <c r="DE10" s="12"/>
      <c r="DK10" s="12"/>
      <c r="DL10" s="12"/>
      <c r="DR10" s="12"/>
      <c r="DS10" s="12"/>
      <c r="DY10" s="12"/>
      <c r="DZ10" s="12"/>
      <c r="EA10" s="14" t="s">
        <v>42</v>
      </c>
      <c r="EB10" s="14"/>
      <c r="EC10" s="14"/>
      <c r="ED10" s="14"/>
      <c r="EE10" s="14"/>
      <c r="EF10" s="14"/>
      <c r="EG10" s="14"/>
      <c r="EH10" s="14" t="s">
        <v>42</v>
      </c>
      <c r="EI10" s="14"/>
      <c r="EJ10" s="14"/>
      <c r="EK10" s="14"/>
      <c r="EL10" s="14"/>
      <c r="EM10" s="14"/>
      <c r="EN10" s="14"/>
      <c r="EO10" s="14"/>
      <c r="EP10" s="14"/>
      <c r="EQ10" s="14"/>
      <c r="ER10" s="14"/>
      <c r="ES10" s="14" t="s">
        <v>43</v>
      </c>
      <c r="ET10" s="14"/>
      <c r="EU10" s="14"/>
      <c r="EV10" s="14"/>
      <c r="FA10" s="10"/>
      <c r="FB10" s="10"/>
      <c r="FH10" s="12"/>
      <c r="FI10" s="12"/>
      <c r="FO10" s="12"/>
      <c r="FP10" s="12"/>
      <c r="FV10" s="12"/>
      <c r="FW10" s="12"/>
      <c r="GC10" s="12"/>
      <c r="GD10" s="12"/>
      <c r="GJ10" s="12"/>
      <c r="GK10" s="12"/>
      <c r="GQ10" s="12"/>
      <c r="GR10" s="12"/>
      <c r="GX10" s="12"/>
      <c r="GY10" s="12"/>
      <c r="HE10" s="12"/>
      <c r="HF10" s="12"/>
      <c r="HL10" s="12"/>
    </row>
    <row r="11" spans="1:220" x14ac:dyDescent="0.25">
      <c r="A11" s="69"/>
      <c r="B11" s="17" t="s">
        <v>82</v>
      </c>
      <c r="C11" s="17"/>
      <c r="D11" s="17"/>
      <c r="J11" s="10"/>
      <c r="K11" s="10"/>
      <c r="Q11" s="12"/>
      <c r="R11" s="12"/>
      <c r="X11" s="10"/>
      <c r="Y11" s="10"/>
      <c r="AE11" s="10"/>
      <c r="AF11" s="10"/>
      <c r="AL11" s="12"/>
      <c r="AM11" s="12"/>
      <c r="CP11" s="12"/>
      <c r="CQ11" s="12"/>
      <c r="CW11" s="12"/>
      <c r="CX11" s="12"/>
      <c r="DD11" s="12"/>
      <c r="DE11" s="12"/>
      <c r="DK11" s="12"/>
      <c r="DL11" s="12"/>
      <c r="DR11" s="12"/>
      <c r="DS11" s="12"/>
      <c r="DY11" s="12"/>
      <c r="DZ11" s="12"/>
      <c r="EF11" s="12"/>
      <c r="EG11" s="12"/>
      <c r="EM11" s="12"/>
      <c r="EN11" s="12"/>
      <c r="EP11" s="14" t="s">
        <v>44</v>
      </c>
      <c r="EQ11" s="14"/>
      <c r="ER11" s="14"/>
      <c r="ES11" s="14" t="s">
        <v>44</v>
      </c>
      <c r="ET11" s="14"/>
      <c r="EU11" s="14"/>
      <c r="EV11" s="14"/>
      <c r="EW11" s="14"/>
      <c r="EX11" s="14" t="s">
        <v>45</v>
      </c>
      <c r="FA11" s="10"/>
      <c r="FB11" s="10"/>
      <c r="FH11" s="12"/>
      <c r="FI11" s="12"/>
      <c r="FO11" s="12"/>
      <c r="FP11" s="12"/>
      <c r="FV11" s="12"/>
      <c r="FW11" s="12"/>
      <c r="GC11" s="12"/>
      <c r="GD11" s="12"/>
      <c r="GJ11" s="12"/>
      <c r="GK11" s="12"/>
      <c r="GQ11" s="12"/>
      <c r="GR11" s="12"/>
      <c r="GX11" s="12"/>
      <c r="GY11" s="12"/>
      <c r="HE11" s="12"/>
      <c r="HF11" s="12"/>
      <c r="HL11" s="12"/>
    </row>
    <row r="12" spans="1:220" x14ac:dyDescent="0.25">
      <c r="A12" s="69"/>
      <c r="B12" s="17" t="s">
        <v>46</v>
      </c>
      <c r="C12" s="17"/>
      <c r="D12" s="17"/>
      <c r="J12" s="10"/>
      <c r="K12" s="10"/>
      <c r="Q12" s="12"/>
      <c r="R12" s="12"/>
      <c r="X12" s="10"/>
      <c r="Y12" s="10"/>
      <c r="AE12" s="10"/>
      <c r="AF12" s="10"/>
      <c r="AL12" s="12"/>
      <c r="AM12" s="12"/>
      <c r="CP12" s="12"/>
      <c r="CQ12" s="12"/>
      <c r="CW12" s="12"/>
      <c r="CX12" s="12"/>
      <c r="DD12" s="12"/>
      <c r="DE12" s="12"/>
      <c r="DK12" s="12"/>
      <c r="DL12" s="12"/>
      <c r="DR12" s="12"/>
      <c r="DS12" s="12"/>
      <c r="DY12" s="12"/>
      <c r="DZ12" s="12"/>
      <c r="EF12" s="12"/>
      <c r="EG12" s="12"/>
      <c r="EM12" s="12"/>
      <c r="EN12" s="12"/>
      <c r="EO12" s="13" t="s">
        <v>47</v>
      </c>
      <c r="ER12" s="12"/>
      <c r="ES12" s="12"/>
      <c r="ET12" s="12"/>
      <c r="EU12" s="12"/>
      <c r="FA12" s="10"/>
      <c r="FB12" s="10"/>
      <c r="FH12" s="12"/>
      <c r="FI12" s="12"/>
      <c r="FO12" s="12"/>
      <c r="FP12" s="12"/>
      <c r="FV12" s="12"/>
      <c r="FW12" s="12"/>
      <c r="GC12" s="12"/>
      <c r="GD12" s="12"/>
      <c r="GJ12" s="12"/>
      <c r="GK12" s="12"/>
      <c r="GQ12" s="12"/>
      <c r="GR12" s="12"/>
      <c r="GX12" s="12"/>
      <c r="GY12" s="12"/>
      <c r="HE12" s="12"/>
      <c r="HF12" s="12"/>
      <c r="HL12" s="12"/>
    </row>
    <row r="13" spans="1:220" x14ac:dyDescent="0.25">
      <c r="A13" s="69"/>
      <c r="B13" s="17" t="s">
        <v>83</v>
      </c>
      <c r="C13" s="17"/>
      <c r="D13" s="17"/>
      <c r="J13" s="10"/>
      <c r="K13" s="10"/>
      <c r="Q13" s="12"/>
      <c r="R13" s="12"/>
      <c r="X13" s="10"/>
      <c r="Y13" s="10"/>
      <c r="AE13" s="10"/>
      <c r="AF13" s="10"/>
      <c r="AL13" s="12"/>
      <c r="AM13" s="12"/>
      <c r="CP13" s="12"/>
      <c r="CQ13" s="12"/>
      <c r="CW13" s="12"/>
      <c r="CX13" s="12"/>
      <c r="DD13" s="12"/>
      <c r="DE13" s="12"/>
      <c r="DK13" s="12"/>
      <c r="DL13" s="12"/>
      <c r="DR13" s="12"/>
      <c r="DS13" s="12"/>
      <c r="DY13" s="12"/>
      <c r="DZ13" s="12"/>
      <c r="EF13" s="12"/>
      <c r="EG13" s="12"/>
      <c r="EM13" s="12"/>
      <c r="EN13" s="12"/>
      <c r="ER13" s="12"/>
      <c r="ES13" s="12"/>
      <c r="ET13" s="12"/>
      <c r="EU13" s="12"/>
      <c r="EX13" s="14" t="s">
        <v>76</v>
      </c>
      <c r="FA13" s="10"/>
      <c r="FB13" s="10"/>
      <c r="FH13" s="12"/>
      <c r="FI13" s="12"/>
      <c r="FO13" s="12"/>
      <c r="FP13" s="12"/>
      <c r="FV13" s="12"/>
      <c r="FW13" s="12"/>
      <c r="GC13" s="12"/>
      <c r="GD13" s="12"/>
      <c r="GJ13" s="12"/>
      <c r="GK13" s="12"/>
      <c r="GQ13" s="12"/>
      <c r="GR13" s="12"/>
      <c r="GX13" s="12"/>
      <c r="GY13" s="12"/>
      <c r="HE13" s="12"/>
      <c r="HF13" s="12"/>
      <c r="HL13" s="12"/>
    </row>
    <row r="14" spans="1:220" x14ac:dyDescent="0.25">
      <c r="A14" s="69"/>
      <c r="B14" s="17" t="s">
        <v>48</v>
      </c>
      <c r="C14" s="17"/>
      <c r="D14" s="17"/>
      <c r="J14" s="10"/>
      <c r="K14" s="10"/>
      <c r="Q14" s="12"/>
      <c r="R14" s="12"/>
      <c r="X14" s="10"/>
      <c r="Y14" s="10"/>
      <c r="AE14" s="10"/>
      <c r="AF14" s="10"/>
      <c r="AL14" s="12"/>
      <c r="AM14" s="12"/>
      <c r="CP14" s="12"/>
      <c r="CQ14" s="12"/>
      <c r="CW14" s="12"/>
      <c r="CX14" s="12"/>
      <c r="DD14" s="12"/>
      <c r="DE14" s="12"/>
      <c r="DK14" s="12"/>
      <c r="DL14" s="12"/>
      <c r="DR14" s="12"/>
      <c r="DS14" s="12"/>
      <c r="DY14" s="12"/>
      <c r="DZ14" s="12"/>
      <c r="EF14" s="12"/>
      <c r="EG14" s="12"/>
      <c r="EM14" s="12"/>
      <c r="EN14" s="12"/>
      <c r="EQ14" s="14" t="s">
        <v>49</v>
      </c>
      <c r="ER14" s="14"/>
      <c r="ES14" s="14"/>
      <c r="ET14" s="14"/>
      <c r="EU14" s="14"/>
      <c r="EV14" s="14" t="s">
        <v>49</v>
      </c>
      <c r="EW14" s="14"/>
      <c r="EX14" s="14"/>
      <c r="EY14" s="53"/>
      <c r="EZ14" s="53"/>
      <c r="FA14" s="14"/>
      <c r="FB14" s="14"/>
      <c r="FC14" s="14" t="s">
        <v>50</v>
      </c>
      <c r="FH14" s="12"/>
      <c r="FI14" s="12"/>
      <c r="FO14" s="12"/>
      <c r="FP14" s="12"/>
      <c r="FV14" s="12"/>
      <c r="FW14" s="12"/>
      <c r="GC14" s="12"/>
      <c r="GD14" s="12"/>
      <c r="GJ14" s="12"/>
      <c r="GK14" s="12"/>
      <c r="GQ14" s="12"/>
      <c r="GR14" s="12"/>
      <c r="GX14" s="12"/>
      <c r="GY14" s="12"/>
      <c r="HE14" s="12"/>
      <c r="HF14" s="12"/>
      <c r="HL14" s="12"/>
    </row>
    <row r="15" spans="1:220" x14ac:dyDescent="0.25">
      <c r="A15" s="69"/>
      <c r="B15" s="17" t="s">
        <v>84</v>
      </c>
      <c r="C15" s="17"/>
      <c r="D15" s="17"/>
      <c r="J15" s="10"/>
      <c r="K15" s="10"/>
      <c r="Q15" s="12"/>
      <c r="R15" s="12"/>
      <c r="X15" s="10"/>
      <c r="Y15" s="10"/>
      <c r="AE15" s="10"/>
      <c r="AF15" s="10"/>
      <c r="AL15" s="12"/>
      <c r="AM15" s="12"/>
      <c r="CP15" s="12"/>
      <c r="CQ15" s="12"/>
      <c r="CW15" s="12"/>
      <c r="CX15" s="12"/>
      <c r="DD15" s="12"/>
      <c r="DE15" s="12"/>
      <c r="DK15" s="12"/>
      <c r="DL15" s="12"/>
      <c r="DR15" s="12"/>
      <c r="DS15" s="12"/>
      <c r="DY15" s="12"/>
      <c r="DZ15" s="12"/>
      <c r="EF15" s="12"/>
      <c r="EG15" s="12"/>
      <c r="EM15" s="12"/>
      <c r="EN15" s="12"/>
      <c r="ER15" s="12"/>
      <c r="ES15" s="12"/>
      <c r="ET15" s="12"/>
      <c r="EU15" s="12"/>
      <c r="FA15" s="10"/>
      <c r="FB15" s="10"/>
      <c r="FD15" s="59"/>
      <c r="FH15" s="12"/>
      <c r="FI15" s="12"/>
      <c r="FO15" s="12"/>
      <c r="FP15" s="12"/>
      <c r="FV15" s="12"/>
      <c r="FW15" s="12"/>
      <c r="GC15" s="12"/>
      <c r="GD15" s="12"/>
      <c r="GJ15" s="12"/>
      <c r="GK15" s="12"/>
      <c r="GQ15" s="12"/>
      <c r="GR15" s="12"/>
      <c r="GX15" s="12"/>
      <c r="GY15" s="12"/>
      <c r="HE15" s="12"/>
      <c r="HF15" s="12"/>
      <c r="HL15" s="12"/>
    </row>
    <row r="16" spans="1:220" ht="14.45" customHeight="1" x14ac:dyDescent="0.25">
      <c r="A16" s="69"/>
      <c r="B16" s="17" t="s">
        <v>51</v>
      </c>
      <c r="C16" s="17"/>
      <c r="D16" s="17"/>
      <c r="J16" s="10"/>
      <c r="K16" s="10"/>
      <c r="Q16" s="10"/>
      <c r="R16" s="10"/>
      <c r="X16" s="10"/>
      <c r="Y16" s="10"/>
      <c r="AE16" s="10"/>
      <c r="AF16" s="10"/>
      <c r="AL16" s="10"/>
      <c r="AM16" s="10"/>
      <c r="CP16" s="12"/>
      <c r="CQ16" s="12"/>
      <c r="CW16" s="12"/>
      <c r="CX16" s="12"/>
      <c r="DD16" s="12"/>
      <c r="DE16" s="12"/>
      <c r="DK16" s="10"/>
      <c r="DL16" s="10"/>
      <c r="DR16" s="10"/>
      <c r="DS16" s="10"/>
      <c r="DY16" s="10"/>
      <c r="DZ16" s="10"/>
      <c r="EF16" s="12"/>
      <c r="EG16" s="12"/>
      <c r="EM16" s="12"/>
      <c r="EN16" s="12"/>
      <c r="ER16" s="12"/>
      <c r="ES16" s="12"/>
      <c r="ET16" s="12"/>
      <c r="EU16" s="12"/>
      <c r="FA16" s="12"/>
      <c r="FB16" s="12"/>
      <c r="FD16" s="62"/>
      <c r="FE16" s="62"/>
      <c r="FH16" s="12"/>
      <c r="FI16" s="12"/>
      <c r="FO16" s="12"/>
      <c r="FP16" s="12"/>
      <c r="FV16" s="12"/>
      <c r="FW16" s="12"/>
      <c r="GC16" s="12"/>
      <c r="GD16" s="12"/>
      <c r="GJ16" s="12"/>
      <c r="GK16" s="12"/>
      <c r="GQ16" s="12"/>
      <c r="GR16" s="12"/>
      <c r="GX16" s="12"/>
      <c r="GY16" s="12"/>
      <c r="HE16" s="12"/>
      <c r="HF16" s="12"/>
      <c r="HL16" s="12"/>
    </row>
    <row r="17" spans="1:220" s="3" customFormat="1" ht="8.1" customHeight="1" x14ac:dyDescent="0.25">
      <c r="A17" s="18"/>
      <c r="B17" s="18"/>
      <c r="C17" s="18"/>
      <c r="D17" s="18"/>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6"/>
      <c r="DG17" s="16"/>
      <c r="DH17" s="16"/>
      <c r="DI17" s="16"/>
      <c r="DJ17" s="16"/>
      <c r="DK17" s="16"/>
      <c r="DL17" s="16"/>
      <c r="DM17" s="16"/>
      <c r="DN17" s="16"/>
      <c r="DO17" s="16"/>
      <c r="DP17" s="16"/>
      <c r="DQ17" s="16"/>
      <c r="DR17" s="16"/>
      <c r="DS17" s="16"/>
      <c r="DT17" s="16"/>
      <c r="DU17" s="16"/>
      <c r="DV17" s="16"/>
      <c r="DW17" s="16"/>
      <c r="DX17" s="16"/>
      <c r="DY17" s="16"/>
      <c r="DZ17" s="16"/>
      <c r="EA17" s="16"/>
      <c r="EB17" s="16"/>
      <c r="EC17" s="16"/>
      <c r="ED17" s="16"/>
      <c r="EE17" s="16"/>
      <c r="EF17" s="16"/>
      <c r="EG17" s="16"/>
      <c r="EH17" s="16"/>
      <c r="EI17" s="16"/>
      <c r="EJ17" s="16"/>
      <c r="EK17" s="16"/>
      <c r="EL17" s="16"/>
      <c r="EM17" s="16"/>
      <c r="EN17" s="16"/>
      <c r="EO17" s="16"/>
      <c r="EP17" s="16"/>
      <c r="EQ17" s="16"/>
      <c r="ER17" s="16"/>
      <c r="ES17" s="16"/>
      <c r="ET17" s="16"/>
      <c r="EU17" s="16"/>
      <c r="EV17" s="16"/>
      <c r="EW17" s="16"/>
      <c r="EX17" s="16"/>
      <c r="EY17" s="16"/>
      <c r="EZ17" s="16"/>
      <c r="FA17" s="16"/>
      <c r="FB17" s="16"/>
      <c r="FC17" s="16"/>
      <c r="FD17" s="16"/>
      <c r="FE17" s="16"/>
      <c r="FF17" s="16"/>
      <c r="FG17" s="16"/>
      <c r="FH17" s="16"/>
      <c r="FI17" s="16"/>
      <c r="FJ17" s="16"/>
      <c r="FK17" s="16"/>
      <c r="FL17" s="16"/>
      <c r="FM17" s="16"/>
      <c r="FN17" s="16"/>
      <c r="FO17" s="16"/>
      <c r="FP17" s="16"/>
      <c r="FQ17" s="16"/>
      <c r="FR17" s="16"/>
      <c r="FS17" s="16"/>
      <c r="FT17" s="16"/>
      <c r="FU17" s="16"/>
      <c r="FV17" s="16"/>
      <c r="FW17" s="16"/>
      <c r="FX17" s="16"/>
      <c r="FY17" s="16"/>
      <c r="FZ17" s="16"/>
      <c r="GA17" s="16"/>
      <c r="GB17" s="16"/>
      <c r="GC17" s="16"/>
      <c r="GD17" s="16"/>
      <c r="GE17" s="16"/>
      <c r="GF17" s="16"/>
      <c r="GG17" s="16"/>
      <c r="GH17" s="16"/>
      <c r="GI17" s="16"/>
      <c r="GJ17" s="16"/>
      <c r="GK17" s="16"/>
      <c r="GL17" s="16"/>
      <c r="GM17" s="16"/>
      <c r="GN17" s="16"/>
      <c r="GO17" s="16"/>
      <c r="GP17" s="16"/>
      <c r="GQ17" s="16"/>
      <c r="GR17" s="16"/>
      <c r="GS17" s="16"/>
      <c r="GT17" s="16"/>
      <c r="GU17" s="16"/>
      <c r="GV17" s="16"/>
      <c r="GW17" s="16"/>
      <c r="GX17" s="16"/>
      <c r="GY17" s="16"/>
      <c r="GZ17" s="16"/>
      <c r="HA17" s="16"/>
      <c r="HB17" s="16"/>
      <c r="HC17" s="16"/>
      <c r="HD17" s="16"/>
      <c r="HE17" s="16"/>
      <c r="HF17" s="16"/>
      <c r="HG17" s="16"/>
      <c r="HH17" s="16"/>
      <c r="HI17" s="16"/>
      <c r="HJ17" s="16"/>
      <c r="HK17" s="16"/>
      <c r="HL17" s="16"/>
    </row>
    <row r="18" spans="1:220" x14ac:dyDescent="0.25">
      <c r="A18" s="60"/>
    </row>
    <row r="19" spans="1:220" x14ac:dyDescent="0.25">
      <c r="A19" s="60"/>
    </row>
    <row r="20" spans="1:220" ht="15.6" hidden="1" customHeight="1" x14ac:dyDescent="0.25">
      <c r="A20" s="60"/>
      <c r="B20" s="19" t="s">
        <v>3</v>
      </c>
      <c r="C20" s="61">
        <v>44019</v>
      </c>
      <c r="D20" s="57"/>
    </row>
    <row r="21" spans="1:220" ht="15.6" hidden="1" customHeight="1" x14ac:dyDescent="0.25">
      <c r="A21" s="60"/>
      <c r="B21" s="20" t="s">
        <v>4</v>
      </c>
      <c r="C21" s="61">
        <v>44026</v>
      </c>
      <c r="D21" s="57"/>
    </row>
    <row r="22" spans="1:220" ht="15.6" hidden="1" customHeight="1" x14ac:dyDescent="0.25">
      <c r="A22" s="60"/>
      <c r="B22" s="19" t="s">
        <v>60</v>
      </c>
      <c r="C22" s="61">
        <v>44027</v>
      </c>
      <c r="D22" s="57"/>
    </row>
    <row r="23" spans="1:220" ht="15.6" hidden="1" customHeight="1" x14ac:dyDescent="0.25">
      <c r="A23" s="60"/>
      <c r="B23" s="19" t="s">
        <v>5</v>
      </c>
      <c r="C23" s="61">
        <v>44029</v>
      </c>
      <c r="D23" s="57"/>
    </row>
    <row r="24" spans="1:220" ht="15.6" hidden="1" customHeight="1" x14ac:dyDescent="0.25">
      <c r="A24" s="60"/>
      <c r="B24" s="19" t="s">
        <v>61</v>
      </c>
      <c r="C24" s="61">
        <v>44036</v>
      </c>
      <c r="D24" s="57"/>
    </row>
    <row r="25" spans="1:220" ht="18.95" hidden="1" customHeight="1" x14ac:dyDescent="0.25">
      <c r="A25" s="60"/>
      <c r="B25" s="19" t="s">
        <v>6</v>
      </c>
      <c r="C25" s="61">
        <v>44043</v>
      </c>
      <c r="D25" s="57"/>
    </row>
    <row r="26" spans="1:220" ht="20.45" hidden="1" customHeight="1" x14ac:dyDescent="0.25">
      <c r="A26" s="60"/>
      <c r="B26" s="19" t="s">
        <v>62</v>
      </c>
      <c r="C26" s="61">
        <v>44053</v>
      </c>
      <c r="D26" s="57"/>
    </row>
    <row r="27" spans="1:220" ht="21" hidden="1" customHeight="1" x14ac:dyDescent="0.25">
      <c r="A27" s="60"/>
      <c r="B27" s="20" t="s">
        <v>63</v>
      </c>
      <c r="C27" s="61">
        <v>44054</v>
      </c>
      <c r="D27" s="57"/>
    </row>
    <row r="28" spans="1:220" ht="15.6" hidden="1" customHeight="1" x14ac:dyDescent="0.25">
      <c r="A28" s="60"/>
      <c r="B28" s="19" t="s">
        <v>64</v>
      </c>
      <c r="C28" s="61">
        <v>44060</v>
      </c>
      <c r="D28" s="57"/>
    </row>
    <row r="29" spans="1:220" ht="18" hidden="1" customHeight="1" x14ac:dyDescent="0.25">
      <c r="A29" s="60"/>
      <c r="B29" s="19" t="s">
        <v>65</v>
      </c>
      <c r="C29" s="61">
        <v>44067</v>
      </c>
      <c r="D29" s="57"/>
    </row>
    <row r="30" spans="1:220" ht="18" hidden="1" customHeight="1" x14ac:dyDescent="0.25">
      <c r="A30" s="60"/>
      <c r="B30" s="21" t="s">
        <v>66</v>
      </c>
      <c r="C30" s="61">
        <v>44068</v>
      </c>
      <c r="D30" s="57"/>
    </row>
    <row r="31" spans="1:220" ht="18" hidden="1" customHeight="1" x14ac:dyDescent="0.25">
      <c r="A31" s="60"/>
      <c r="B31" s="19" t="s">
        <v>67</v>
      </c>
      <c r="C31" s="61">
        <v>44048</v>
      </c>
      <c r="D31" s="57"/>
    </row>
    <row r="32" spans="1:220" ht="18" hidden="1" customHeight="1" x14ac:dyDescent="0.25">
      <c r="A32" s="60"/>
      <c r="B32" s="19" t="s">
        <v>68</v>
      </c>
      <c r="C32" s="61">
        <v>44050</v>
      </c>
      <c r="D32" s="57"/>
    </row>
    <row r="33" spans="1:4" ht="18" hidden="1" customHeight="1" x14ac:dyDescent="0.25">
      <c r="A33" s="60"/>
      <c r="B33" s="19" t="s">
        <v>69</v>
      </c>
      <c r="C33" s="61">
        <v>44081</v>
      </c>
      <c r="D33" s="57"/>
    </row>
    <row r="34" spans="1:4" ht="18" hidden="1" customHeight="1" x14ac:dyDescent="0.25">
      <c r="A34" s="60"/>
      <c r="B34" s="19" t="s">
        <v>70</v>
      </c>
      <c r="C34" s="61">
        <v>44084</v>
      </c>
      <c r="D34" s="57"/>
    </row>
    <row r="35" spans="1:4" ht="18" hidden="1" customHeight="1" x14ac:dyDescent="0.25">
      <c r="A35" s="60"/>
      <c r="B35" s="19" t="s">
        <v>71</v>
      </c>
      <c r="C35" s="61">
        <v>44088</v>
      </c>
      <c r="D35" s="57"/>
    </row>
    <row r="36" spans="1:4" ht="18" hidden="1" customHeight="1" x14ac:dyDescent="0.25">
      <c r="A36" s="60"/>
      <c r="B36" s="19" t="s">
        <v>72</v>
      </c>
      <c r="C36" s="61">
        <v>44098</v>
      </c>
      <c r="D36" s="57"/>
    </row>
    <row r="37" spans="1:4" ht="18" hidden="1" customHeight="1" x14ac:dyDescent="0.25">
      <c r="A37" s="60"/>
      <c r="B37" s="19" t="s">
        <v>73</v>
      </c>
      <c r="C37" s="61">
        <v>44099</v>
      </c>
      <c r="D37" s="57"/>
    </row>
    <row r="38" spans="1:4" ht="56.25" hidden="1" x14ac:dyDescent="0.25">
      <c r="A38" s="60"/>
      <c r="B38" s="21" t="s">
        <v>7</v>
      </c>
      <c r="C38" s="61">
        <v>44104</v>
      </c>
      <c r="D38" s="57"/>
    </row>
    <row r="39" spans="1:4" ht="18.75" x14ac:dyDescent="0.25">
      <c r="A39" s="60"/>
      <c r="B39" s="58"/>
      <c r="C39" s="56"/>
      <c r="D39" s="56"/>
    </row>
    <row r="40" spans="1:4" ht="18.75" x14ac:dyDescent="0.25">
      <c r="B40" s="58"/>
      <c r="C40" s="56"/>
      <c r="D40" s="56"/>
    </row>
    <row r="41" spans="1:4" x14ac:dyDescent="0.25">
      <c r="B41" s="56"/>
      <c r="C41" s="56"/>
      <c r="D41" s="56"/>
    </row>
    <row r="42" spans="1:4" x14ac:dyDescent="0.25">
      <c r="B42" s="56"/>
      <c r="C42" s="56"/>
      <c r="D42" s="56"/>
    </row>
    <row r="43" spans="1:4" x14ac:dyDescent="0.25">
      <c r="B43" s="56"/>
      <c r="C43" s="56"/>
      <c r="D43" s="56"/>
    </row>
  </sheetData>
  <mergeCells count="7">
    <mergeCell ref="DM6:DM7"/>
    <mergeCell ref="BD2:BI2"/>
    <mergeCell ref="A5:A16"/>
    <mergeCell ref="V3:AD3"/>
    <mergeCell ref="A2:D3"/>
    <mergeCell ref="O3:P3"/>
    <mergeCell ref="FF2:FU2"/>
  </mergeCells>
  <pageMargins left="0.7" right="0.7" top="0.75" bottom="0.75" header="0.3" footer="0.3"/>
  <pageSetup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2"/>
  <sheetViews>
    <sheetView showGridLines="0" workbookViewId="0">
      <selection activeCell="F22" sqref="F22"/>
    </sheetView>
  </sheetViews>
  <sheetFormatPr defaultColWidth="8.85546875" defaultRowHeight="15" x14ac:dyDescent="0.25"/>
  <sheetData>
    <row r="1" spans="1:2" x14ac:dyDescent="0.25">
      <c r="A1" t="s">
        <v>52</v>
      </c>
    </row>
    <row r="4" spans="1:2" x14ac:dyDescent="0.25">
      <c r="A4" t="s">
        <v>53</v>
      </c>
    </row>
    <row r="5" spans="1:2" x14ac:dyDescent="0.25">
      <c r="A5" s="1" t="s">
        <v>54</v>
      </c>
    </row>
    <row r="6" spans="1:2" x14ac:dyDescent="0.25">
      <c r="A6" s="1"/>
    </row>
    <row r="8" spans="1:2" x14ac:dyDescent="0.25">
      <c r="A8" t="s">
        <v>55</v>
      </c>
    </row>
    <row r="9" spans="1:2" x14ac:dyDescent="0.25">
      <c r="A9" s="2" t="s">
        <v>56</v>
      </c>
    </row>
    <row r="10" spans="1:2" x14ac:dyDescent="0.25">
      <c r="A10" s="2"/>
    </row>
    <row r="11" spans="1:2" x14ac:dyDescent="0.25">
      <c r="A11" t="s">
        <v>57</v>
      </c>
    </row>
    <row r="12" spans="1:2" x14ac:dyDescent="0.25">
      <c r="A12" s="2" t="s">
        <v>58</v>
      </c>
      <c r="B12" s="2"/>
    </row>
  </sheetData>
  <hyperlinks>
    <hyperlink ref="A9" r:id="rId1" xr:uid="{00000000-0004-0000-0800-000000000000}"/>
    <hyperlink ref="A12" r:id="rId2" xr:uid="{00000000-0004-0000-0800-000001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A710FE4AEB4C04AA560664C94595FC6" ma:contentTypeVersion="10" ma:contentTypeDescription="Create a new document." ma:contentTypeScope="" ma:versionID="6c34ad2fed489b962dd3edf60c140f2f">
  <xsd:schema xmlns:xsd="http://www.w3.org/2001/XMLSchema" xmlns:xs="http://www.w3.org/2001/XMLSchema" xmlns:p="http://schemas.microsoft.com/office/2006/metadata/properties" xmlns:ns2="2fead325-a9ee-4230-a869-50c45b854c3e" xmlns:ns3="d91f321f-d38a-4a55-b388-ccb9d37becf0" targetNamespace="http://schemas.microsoft.com/office/2006/metadata/properties" ma:root="true" ma:fieldsID="5d41156d9c066f0b38a89f0113e99fed" ns2:_="" ns3:_="">
    <xsd:import namespace="2fead325-a9ee-4230-a869-50c45b854c3e"/>
    <xsd:import namespace="d91f321f-d38a-4a55-b388-ccb9d37bec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ead325-a9ee-4230-a869-50c45b854c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91f321f-d38a-4a55-b388-ccb9d37becf0"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69E704-607C-4E4F-88C4-4F01D124158A}">
  <ds:schemaRefs>
    <ds:schemaRef ds:uri="http://schemas.microsoft.com/sharepoint/v3/contenttype/forms"/>
  </ds:schemaRefs>
</ds:datastoreItem>
</file>

<file path=customXml/itemProps2.xml><?xml version="1.0" encoding="utf-8"?>
<ds:datastoreItem xmlns:ds="http://schemas.openxmlformats.org/officeDocument/2006/customXml" ds:itemID="{81436808-A708-4E10-BC9B-7C9F49220367}"/>
</file>

<file path=customXml/itemProps3.xml><?xml version="1.0" encoding="utf-8"?>
<ds:datastoreItem xmlns:ds="http://schemas.openxmlformats.org/officeDocument/2006/customXml" ds:itemID="{F1EC4127-C1E8-4592-A38C-D6C464014317}">
  <ds:schemaRefs>
    <ds:schemaRef ds:uri="http://purl.org/dc/elements/1.1/"/>
    <ds:schemaRef ds:uri="http://schemas.microsoft.com/office/2006/documentManagement/types"/>
    <ds:schemaRef ds:uri="http://purl.org/dc/terms/"/>
    <ds:schemaRef ds:uri="http://schemas.microsoft.com/office/2006/metadata/properties"/>
    <ds:schemaRef ds:uri="http://schemas.openxmlformats.org/package/2006/metadata/core-properties"/>
    <ds:schemaRef ds:uri="http://purl.org/dc/dcmitype/"/>
    <ds:schemaRef ds:uri="http://schemas.microsoft.com/office/infopath/2007/PartnerControls"/>
    <ds:schemaRef ds:uri="f1be909c-9d84-498e-9d71-9fa8ee865b1d"/>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Action Items</vt:lpstr>
      <vt:lpstr>Schedule</vt:lpstr>
      <vt:lpstr>OVA Links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Stephanie Chavira</dc:creator>
  <cp:keywords/>
  <dc:description/>
  <cp:lastModifiedBy>Igor Kulyk</cp:lastModifiedBy>
  <cp:revision/>
  <dcterms:created xsi:type="dcterms:W3CDTF">2017-10-10T20:25:28Z</dcterms:created>
  <dcterms:modified xsi:type="dcterms:W3CDTF">2020-11-23T08:01:05Z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0x010100EA710FE4AEB4C04AA560664C94595FC6</vt:lpwstr>
  </property>
  <property fmtid="{D5CDD505-2E9C-101B-9397-08002B2CF9AE}" pid="3" name="Order">
    <vt:r8>10600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_SourceUrl">
    <vt:lpwstr/>
  </property>
  <property fmtid="{D5CDD505-2E9C-101B-9397-08002B2CF9AE}" pid="8" name="_SharedFileIndex">
    <vt:lpwstr/>
  </property>
  <property fmtid="{D5CDD505-2E9C-101B-9397-08002B2CF9AE}" pid="9" name="_ColorHex">
    <vt:lpwstr/>
  </property>
  <property fmtid="{D5CDD505-2E9C-101B-9397-08002B2CF9AE}" pid="10" name="_Emoji">
    <vt:lpwstr/>
  </property>
  <property fmtid="{D5CDD505-2E9C-101B-9397-08002B2CF9AE}" pid="11" name="ComplianceAssetId">
    <vt:lpwstr/>
  </property>
  <property fmtid="{D5CDD505-2E9C-101B-9397-08002B2CF9AE}" pid="12" name="TemplateUrl">
    <vt:lpwstr/>
  </property>
  <property fmtid="{D5CDD505-2E9C-101B-9397-08002B2CF9AE}" pid="13" name="_ExtendedDescription">
    <vt:lpwstr/>
  </property>
  <property fmtid="{D5CDD505-2E9C-101B-9397-08002B2CF9AE}" pid="14" name="_ColorTag">
    <vt:lpwstr/>
  </property>
  <property fmtid="{D5CDD505-2E9C-101B-9397-08002B2CF9AE}" pid="15" name="MediaServiceImageTags">
    <vt:lpwstr/>
  </property>
</Properties>
</file>